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fif" ContentType="image/jpe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 V K\Desktop\"/>
    </mc:Choice>
  </mc:AlternateContent>
  <bookViews>
    <workbookView xWindow="0" yWindow="0" windowWidth="23040" windowHeight="9384"/>
  </bookViews>
  <sheets>
    <sheet name="Sheet1" sheetId="5" r:id="rId1"/>
  </sheets>
  <definedNames>
    <definedName name="_xlnm._FilterDatabase" localSheetId="0" hidden="1">Sheet1!$A$5:$P$30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0" i="5" l="1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6" i="5"/>
</calcChain>
</file>

<file path=xl/sharedStrings.xml><?xml version="1.0" encoding="utf-8"?>
<sst xmlns="http://schemas.openxmlformats.org/spreadsheetml/2006/main" count="180" uniqueCount="82">
  <si>
    <t>TOTAL</t>
  </si>
  <si>
    <t>TYPE</t>
  </si>
  <si>
    <t xml:space="preserve">PRODUCT NAME </t>
  </si>
  <si>
    <t xml:space="preserve">MODEL NO </t>
  </si>
  <si>
    <t>WATTS</t>
  </si>
  <si>
    <t>QTY</t>
  </si>
  <si>
    <t>IMAGE</t>
  </si>
  <si>
    <t>4000K</t>
  </si>
  <si>
    <t>12W</t>
  </si>
  <si>
    <t>GYMNASIUM CHANGE ROOM</t>
  </si>
  <si>
    <t>HYBEC</t>
  </si>
  <si>
    <t>LED COB - 9W - ROUND - WHITE - 4000K</t>
  </si>
  <si>
    <t>HLR-2492</t>
  </si>
  <si>
    <t>9W</t>
  </si>
  <si>
    <t>POOL TABLE ROOM</t>
  </si>
  <si>
    <t>MULTIPURPOSE ROOM</t>
  </si>
  <si>
    <t>3000K</t>
  </si>
  <si>
    <t>HLR-2689</t>
  </si>
  <si>
    <t>7W</t>
  </si>
  <si>
    <t>LED STRIP &amp; DRIVER IF REQUIRED</t>
  </si>
  <si>
    <t>INDOOR GAME ROOM</t>
  </si>
  <si>
    <t>LED COB - 7W - ROUND - WHITE - 4000K</t>
  </si>
  <si>
    <t>LOUNGE &amp; LIBRARY</t>
  </si>
  <si>
    <t>LINEAR LIGHT</t>
  </si>
  <si>
    <t>RESTAURANT</t>
  </si>
  <si>
    <t>MOCKTAIL COUTER</t>
  </si>
  <si>
    <t xml:space="preserve">Kitchen </t>
  </si>
  <si>
    <t>5700K</t>
  </si>
  <si>
    <t>22W</t>
  </si>
  <si>
    <t>SPA</t>
  </si>
  <si>
    <t>TRACK LIGHT</t>
  </si>
  <si>
    <t>8W</t>
  </si>
  <si>
    <t>SPA - CHANGE ROOM</t>
  </si>
  <si>
    <t>SPA - SHOWER ROOM</t>
  </si>
  <si>
    <t>SPA - MASSAGE ROOM</t>
  </si>
  <si>
    <t>SPA - SAUNA</t>
  </si>
  <si>
    <t>LED COB - 7W - ROUND - WHITE - 3000K -WATER PROOF</t>
  </si>
  <si>
    <t>SPA - STEAM</t>
  </si>
  <si>
    <t>Sr. No.</t>
  </si>
  <si>
    <t>27.04.2019</t>
  </si>
  <si>
    <t>SKYLANDS CLUBHOUSE LIGHT FIXTURE SELECTION LIST</t>
  </si>
  <si>
    <t>BRAND</t>
  </si>
  <si>
    <t>COLOUR TEMPRATURE</t>
  </si>
  <si>
    <t>MALE TOILET</t>
  </si>
  <si>
    <t>FEMALE TOILET</t>
  </si>
  <si>
    <t>WALL MIRROR LIGHT</t>
  </si>
  <si>
    <t>Any Standard Brand</t>
  </si>
  <si>
    <t>-</t>
  </si>
  <si>
    <t>LEDLUM</t>
  </si>
  <si>
    <t>LLWL - 056</t>
  </si>
  <si>
    <t>WALL LIGHT FIXTURE</t>
  </si>
  <si>
    <t>WIPRO</t>
  </si>
  <si>
    <t>GARNET PLUS</t>
  </si>
  <si>
    <t>AREA</t>
  </si>
  <si>
    <t>HLR (12WATT)</t>
  </si>
  <si>
    <t>LED COB - 12W - ROUND - WHITE - 4000K</t>
  </si>
  <si>
    <t>CEILING COB LIGHT</t>
  </si>
  <si>
    <t>CEILING COB LIGHT IN PAIR OF FOUR</t>
  </si>
  <si>
    <t>CEILING COB LIGHT IN PAIR OF TWO</t>
  </si>
  <si>
    <t>CEILING COB LIGHT (WATER PROOF)</t>
  </si>
  <si>
    <t>CEILING COB LIGHT (BLAST PROOF)</t>
  </si>
  <si>
    <t>LED COB - 7W - ROUND - WHITE - 3000K -BLAST PROOF -SAUNA COMPITABLE</t>
  </si>
  <si>
    <t>10W / FT</t>
  </si>
  <si>
    <t>HLL-4731</t>
  </si>
  <si>
    <t>PHILLIPS
OR
HYBEC</t>
  </si>
  <si>
    <t>LED - SINGLE TRACK LIGHT - WHITE - 3000K</t>
  </si>
  <si>
    <t>LED COB - 9W - ROUND - WHITE - 3000K</t>
  </si>
  <si>
    <t>General
Wherever Strip light</t>
  </si>
  <si>
    <t xml:space="preserve"> DRIVER FOR LED STRIP LIGHT</t>
  </si>
  <si>
    <t>Compitible Driver For LED STRIP light selected
QTY in Numbers as per Vendor
1 Driver required per 10meter Strip OR As per connection</t>
  </si>
  <si>
    <t> LED BATTEN 22 WATTS
Cool white colour</t>
  </si>
  <si>
    <t xml:space="preserve"> LED BATTEN</t>
  </si>
  <si>
    <t>10W</t>
  </si>
  <si>
    <t>HLT-3032</t>
  </si>
  <si>
    <t>HLL-4506</t>
  </si>
  <si>
    <t>LED STRIP  -12W per meter
120 LED / Meter
QTY IN RUNNING METER</t>
  </si>
  <si>
    <t>LED PROFILE LIGHT SUSPENDED -1200MM LENGTH
Aluminium Extrusion Body</t>
  </si>
  <si>
    <t>MRP</t>
  </si>
  <si>
    <t>Disc%</t>
  </si>
  <si>
    <t>Net Price</t>
  </si>
  <si>
    <t>Quoted Brand Specification</t>
  </si>
  <si>
    <t>Quoted brand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</si>
</sst>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name val="Calibri"/>
      <family val="2"/>
      <scheme val="minor"/>
    </font>
    <font>
      <sz val="11"/>
      <name val="Tahoma"/>
      <family val="2"/>
    </font>
    <font>
      <sz val="12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9" fillId="0" borderId="1" xfId="1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10" fillId="3" borderId="1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65" fontId="3" fillId="0" borderId="0" xfId="0" applyNumberFormat="1" applyFont="1" applyBorder="1" applyAlignment="1">
      <alignment horizontal="center" vertical="center"/>
    </xf>
    <xf numFmtId="165" fontId="2" fillId="0" borderId="6" xfId="1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/>
    </xf>
    <xf numFmtId="0" fontId="11" fillId="0" borderId="1" xfId="2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9" fontId="6" fillId="0" borderId="1" xfId="3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">
    <cellStyle name="Bad" xfId="2" builtinId="27"/>
    <cellStyle name="Comma" xfId="1" builtinId="3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fi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5</xdr:row>
      <xdr:rowOff>47625</xdr:rowOff>
    </xdr:from>
    <xdr:to>
      <xdr:col>9</xdr:col>
      <xdr:colOff>990600</xdr:colOff>
      <xdr:row>5</xdr:row>
      <xdr:rowOff>591906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twoCellAnchor>
  <xdr:oneCellAnchor>
    <xdr:from>
      <xdr:col>9</xdr:col>
      <xdr:colOff>104775</xdr:colOff>
      <xdr:row>6</xdr:row>
      <xdr:rowOff>47625</xdr:rowOff>
    </xdr:from>
    <xdr:ext cx="885825" cy="544281"/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14</xdr:row>
      <xdr:rowOff>47625</xdr:rowOff>
    </xdr:from>
    <xdr:ext cx="885825" cy="544281"/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15</xdr:row>
      <xdr:rowOff>47625</xdr:rowOff>
    </xdr:from>
    <xdr:ext cx="885825" cy="544281"/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17</xdr:row>
      <xdr:rowOff>47625</xdr:rowOff>
    </xdr:from>
    <xdr:ext cx="885825" cy="544281"/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19</xdr:row>
      <xdr:rowOff>47625</xdr:rowOff>
    </xdr:from>
    <xdr:ext cx="885825" cy="544281"/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20</xdr:row>
      <xdr:rowOff>47625</xdr:rowOff>
    </xdr:from>
    <xdr:ext cx="885825" cy="544281"/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21</xdr:row>
      <xdr:rowOff>47625</xdr:rowOff>
    </xdr:from>
    <xdr:ext cx="885825" cy="544281"/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22</xdr:row>
      <xdr:rowOff>47625</xdr:rowOff>
    </xdr:from>
    <xdr:ext cx="885825" cy="544281"/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23</xdr:row>
      <xdr:rowOff>47625</xdr:rowOff>
    </xdr:from>
    <xdr:ext cx="885825" cy="544281"/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524125"/>
          <a:ext cx="885825" cy="544281"/>
        </a:xfrm>
        <a:prstGeom prst="rect">
          <a:avLst/>
        </a:prstGeom>
      </xdr:spPr>
    </xdr:pic>
    <xdr:clientData/>
  </xdr:oneCellAnchor>
  <xdr:twoCellAnchor editAs="oneCell">
    <xdr:from>
      <xdr:col>9</xdr:col>
      <xdr:colOff>38100</xdr:colOff>
      <xdr:row>7</xdr:row>
      <xdr:rowOff>104775</xdr:rowOff>
    </xdr:from>
    <xdr:to>
      <xdr:col>9</xdr:col>
      <xdr:colOff>1238250</xdr:colOff>
      <xdr:row>7</xdr:row>
      <xdr:rowOff>512481</xdr:rowOff>
    </xdr:to>
    <xdr:pic>
      <xdr:nvPicPr>
        <xdr:cNvPr id="16" name="Picture 15" descr="Led strips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7359" b="17442"/>
        <a:stretch/>
      </xdr:blipFill>
      <xdr:spPr>
        <a:xfrm>
          <a:off x="10972800" y="4495800"/>
          <a:ext cx="1200150" cy="407706"/>
        </a:xfrm>
        <a:prstGeom prst="rect">
          <a:avLst/>
        </a:prstGeom>
      </xdr:spPr>
    </xdr:pic>
    <xdr:clientData/>
  </xdr:twoCellAnchor>
  <xdr:oneCellAnchor>
    <xdr:from>
      <xdr:col>9</xdr:col>
      <xdr:colOff>38100</xdr:colOff>
      <xdr:row>9</xdr:row>
      <xdr:rowOff>104775</xdr:rowOff>
    </xdr:from>
    <xdr:ext cx="1200150" cy="407706"/>
    <xdr:pic>
      <xdr:nvPicPr>
        <xdr:cNvPr id="17" name="Picture 16" descr="Led strips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7359" b="17442"/>
        <a:stretch/>
      </xdr:blipFill>
      <xdr:spPr>
        <a:xfrm>
          <a:off x="10972800" y="4495800"/>
          <a:ext cx="1200150" cy="407706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13</xdr:row>
      <xdr:rowOff>104775</xdr:rowOff>
    </xdr:from>
    <xdr:ext cx="1200150" cy="407706"/>
    <xdr:pic>
      <xdr:nvPicPr>
        <xdr:cNvPr id="18" name="Picture 17" descr="Led strips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7359" b="17442"/>
        <a:stretch/>
      </xdr:blipFill>
      <xdr:spPr>
        <a:xfrm>
          <a:off x="10972800" y="4495800"/>
          <a:ext cx="1200150" cy="407706"/>
        </a:xfrm>
        <a:prstGeom prst="rect">
          <a:avLst/>
        </a:prstGeom>
      </xdr:spPr>
    </xdr:pic>
    <xdr:clientData/>
  </xdr:oneCellAnchor>
  <xdr:twoCellAnchor editAs="oneCell">
    <xdr:from>
      <xdr:col>9</xdr:col>
      <xdr:colOff>180975</xdr:colOff>
      <xdr:row>27</xdr:row>
      <xdr:rowOff>28576</xdr:rowOff>
    </xdr:from>
    <xdr:to>
      <xdr:col>9</xdr:col>
      <xdr:colOff>1104900</xdr:colOff>
      <xdr:row>27</xdr:row>
      <xdr:rowOff>603850</xdr:rowOff>
    </xdr:to>
    <xdr:pic>
      <xdr:nvPicPr>
        <xdr:cNvPr id="23" name="Picture 22" descr="Toilet wall ligh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15675" y="19735801"/>
          <a:ext cx="923925" cy="575274"/>
        </a:xfrm>
        <a:prstGeom prst="rect">
          <a:avLst/>
        </a:prstGeom>
      </xdr:spPr>
    </xdr:pic>
    <xdr:clientData/>
  </xdr:twoCellAnchor>
  <xdr:oneCellAnchor>
    <xdr:from>
      <xdr:col>9</xdr:col>
      <xdr:colOff>180975</xdr:colOff>
      <xdr:row>25</xdr:row>
      <xdr:rowOff>28576</xdr:rowOff>
    </xdr:from>
    <xdr:ext cx="923925" cy="575274"/>
    <xdr:pic>
      <xdr:nvPicPr>
        <xdr:cNvPr id="24" name="Picture 23" descr="Toilet wall ligh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15675" y="19735801"/>
          <a:ext cx="923925" cy="575274"/>
        </a:xfrm>
        <a:prstGeom prst="rect">
          <a:avLst/>
        </a:prstGeom>
      </xdr:spPr>
    </xdr:pic>
    <xdr:clientData/>
  </xdr:oneCellAnchor>
  <xdr:oneCellAnchor>
    <xdr:from>
      <xdr:col>9</xdr:col>
      <xdr:colOff>180975</xdr:colOff>
      <xdr:row>27</xdr:row>
      <xdr:rowOff>28576</xdr:rowOff>
    </xdr:from>
    <xdr:ext cx="923925" cy="575274"/>
    <xdr:pic>
      <xdr:nvPicPr>
        <xdr:cNvPr id="25" name="Picture 24" descr="Toilet wall ligh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15675" y="17821276"/>
          <a:ext cx="923925" cy="575274"/>
        </a:xfrm>
        <a:prstGeom prst="rect">
          <a:avLst/>
        </a:prstGeom>
      </xdr:spPr>
    </xdr:pic>
    <xdr:clientData/>
  </xdr:oneCellAnchor>
  <xdr:twoCellAnchor editAs="oneCell">
    <xdr:from>
      <xdr:col>9</xdr:col>
      <xdr:colOff>28576</xdr:colOff>
      <xdr:row>16</xdr:row>
      <xdr:rowOff>95250</xdr:rowOff>
    </xdr:from>
    <xdr:to>
      <xdr:col>9</xdr:col>
      <xdr:colOff>1285876</xdr:colOff>
      <xdr:row>16</xdr:row>
      <xdr:rowOff>544419</xdr:rowOff>
    </xdr:to>
    <xdr:pic>
      <xdr:nvPicPr>
        <xdr:cNvPr id="26" name="Picture 25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2" t="45029" r="56003" b="27486"/>
        <a:stretch/>
      </xdr:blipFill>
      <xdr:spPr>
        <a:xfrm>
          <a:off x="10963276" y="11506200"/>
          <a:ext cx="1257300" cy="449169"/>
        </a:xfrm>
        <a:prstGeom prst="rect">
          <a:avLst/>
        </a:prstGeom>
      </xdr:spPr>
    </xdr:pic>
    <xdr:clientData/>
  </xdr:twoCellAnchor>
  <xdr:oneCellAnchor>
    <xdr:from>
      <xdr:col>9</xdr:col>
      <xdr:colOff>104775</xdr:colOff>
      <xdr:row>12</xdr:row>
      <xdr:rowOff>47625</xdr:rowOff>
    </xdr:from>
    <xdr:ext cx="885825" cy="544281"/>
    <xdr:pic>
      <xdr:nvPicPr>
        <xdr:cNvPr id="28" name="Picture 2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2076450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10</xdr:row>
      <xdr:rowOff>47625</xdr:rowOff>
    </xdr:from>
    <xdr:ext cx="885825" cy="544281"/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039475" y="399097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24</xdr:row>
      <xdr:rowOff>47625</xdr:rowOff>
    </xdr:from>
    <xdr:ext cx="885825" cy="544281"/>
    <xdr:pic>
      <xdr:nvPicPr>
        <xdr:cNvPr id="32" name="Picture 3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131363" y="13573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26</xdr:row>
      <xdr:rowOff>47625</xdr:rowOff>
    </xdr:from>
    <xdr:ext cx="885825" cy="544281"/>
    <xdr:pic>
      <xdr:nvPicPr>
        <xdr:cNvPr id="33" name="Picture 3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131363" y="13573125"/>
          <a:ext cx="885825" cy="544281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8</xdr:row>
      <xdr:rowOff>47625</xdr:rowOff>
    </xdr:from>
    <xdr:ext cx="885825" cy="544281"/>
    <xdr:pic>
      <xdr:nvPicPr>
        <xdr:cNvPr id="34" name="Picture 3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77"/>
        <a:stretch/>
      </xdr:blipFill>
      <xdr:spPr>
        <a:xfrm>
          <a:off x="11131363" y="5269566"/>
          <a:ext cx="885825" cy="544281"/>
        </a:xfrm>
        <a:prstGeom prst="rect">
          <a:avLst/>
        </a:prstGeom>
      </xdr:spPr>
    </xdr:pic>
    <xdr:clientData/>
  </xdr:oneCellAnchor>
  <xdr:twoCellAnchor editAs="oneCell">
    <xdr:from>
      <xdr:col>9</xdr:col>
      <xdr:colOff>112058</xdr:colOff>
      <xdr:row>18</xdr:row>
      <xdr:rowOff>100853</xdr:rowOff>
    </xdr:from>
    <xdr:to>
      <xdr:col>9</xdr:col>
      <xdr:colOff>1176617</xdr:colOff>
      <xdr:row>18</xdr:row>
      <xdr:rowOff>1128703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15" t="20915" r="18431" b="20523"/>
        <a:stretch/>
      </xdr:blipFill>
      <xdr:spPr>
        <a:xfrm>
          <a:off x="11138646" y="11710147"/>
          <a:ext cx="1064559" cy="1027850"/>
        </a:xfrm>
        <a:prstGeom prst="rect">
          <a:avLst/>
        </a:prstGeom>
      </xdr:spPr>
    </xdr:pic>
    <xdr:clientData/>
  </xdr:twoCellAnchor>
  <xdr:oneCellAnchor>
    <xdr:from>
      <xdr:col>9</xdr:col>
      <xdr:colOff>38100</xdr:colOff>
      <xdr:row>9</xdr:row>
      <xdr:rowOff>104775</xdr:rowOff>
    </xdr:from>
    <xdr:ext cx="1200150" cy="407706"/>
    <xdr:pic>
      <xdr:nvPicPr>
        <xdr:cNvPr id="35" name="Picture 34" descr="Led strips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7359" b="17442"/>
        <a:stretch/>
      </xdr:blipFill>
      <xdr:spPr>
        <a:xfrm>
          <a:off x="11064688" y="3410510"/>
          <a:ext cx="1200150" cy="407706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13</xdr:row>
      <xdr:rowOff>104775</xdr:rowOff>
    </xdr:from>
    <xdr:ext cx="1200150" cy="407706"/>
    <xdr:pic>
      <xdr:nvPicPr>
        <xdr:cNvPr id="36" name="Picture 35" descr="Led strips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7359" b="17442"/>
        <a:stretch/>
      </xdr:blipFill>
      <xdr:spPr>
        <a:xfrm>
          <a:off x="11064688" y="4687981"/>
          <a:ext cx="1200150" cy="407706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13</xdr:row>
      <xdr:rowOff>104775</xdr:rowOff>
    </xdr:from>
    <xdr:ext cx="1200150" cy="407706"/>
    <xdr:pic>
      <xdr:nvPicPr>
        <xdr:cNvPr id="37" name="Picture 36" descr="Led strips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7359" b="17442"/>
        <a:stretch/>
      </xdr:blipFill>
      <xdr:spPr>
        <a:xfrm>
          <a:off x="11064688" y="4687981"/>
          <a:ext cx="1200150" cy="407706"/>
        </a:xfrm>
        <a:prstGeom prst="rect">
          <a:avLst/>
        </a:prstGeom>
      </xdr:spPr>
    </xdr:pic>
    <xdr:clientData/>
  </xdr:oneCellAnchor>
  <xdr:twoCellAnchor editAs="oneCell">
    <xdr:from>
      <xdr:col>9</xdr:col>
      <xdr:colOff>56029</xdr:colOff>
      <xdr:row>11</xdr:row>
      <xdr:rowOff>56030</xdr:rowOff>
    </xdr:from>
    <xdr:to>
      <xdr:col>9</xdr:col>
      <xdr:colOff>1280383</xdr:colOff>
      <xdr:row>11</xdr:row>
      <xdr:rowOff>1075766</xdr:rowOff>
    </xdr:to>
    <xdr:pic>
      <xdr:nvPicPr>
        <xdr:cNvPr id="21" name="Picture 2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09" t="17647" r="17095" b="26471"/>
        <a:stretch/>
      </xdr:blipFill>
      <xdr:spPr>
        <a:xfrm>
          <a:off x="11082617" y="5916706"/>
          <a:ext cx="1224354" cy="1019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1"/>
  <sheetViews>
    <sheetView tabSelected="1" topLeftCell="D5" zoomScale="85" zoomScaleNormal="85" workbookViewId="0">
      <pane ySplit="1" topLeftCell="A6" activePane="bottomLeft" state="frozen"/>
      <selection activeCell="A5" sqref="A5"/>
      <selection pane="bottomLeft" activeCell="O6" sqref="O6"/>
    </sheetView>
  </sheetViews>
  <sheetFormatPr defaultRowHeight="14.4" x14ac:dyDescent="0.3"/>
  <cols>
    <col min="1" max="1" width="5" style="1" customWidth="1"/>
    <col min="2" max="2" width="29" customWidth="1"/>
    <col min="3" max="3" width="31.6640625" bestFit="1" customWidth="1"/>
    <col min="4" max="4" width="10.109375" customWidth="1"/>
    <col min="5" max="5" width="34.109375" customWidth="1"/>
    <col min="6" max="6" width="14.5546875" customWidth="1"/>
    <col min="7" max="7" width="14.6640625" customWidth="1"/>
    <col min="8" max="9" width="11" customWidth="1"/>
    <col min="10" max="10" width="19.6640625" customWidth="1"/>
    <col min="11" max="11" width="12.44140625" customWidth="1"/>
    <col min="12" max="12" width="10.5546875" customWidth="1"/>
    <col min="13" max="13" width="11.33203125" customWidth="1"/>
    <col min="14" max="15" width="15.88671875" customWidth="1"/>
    <col min="16" max="16" width="14.109375" customWidth="1"/>
    <col min="17" max="17" width="16.5546875" customWidth="1"/>
  </cols>
  <sheetData>
    <row r="1" spans="1:17" ht="30" customHeight="1" x14ac:dyDescent="0.3">
      <c r="A1" s="34" t="s">
        <v>39</v>
      </c>
      <c r="B1" s="34"/>
    </row>
    <row r="2" spans="1:17" ht="15" thickBot="1" x14ac:dyDescent="0.35"/>
    <row r="3" spans="1:17" ht="50.25" customHeight="1" thickBot="1" x14ac:dyDescent="0.35">
      <c r="A3" s="32" t="s">
        <v>40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16"/>
    </row>
    <row r="4" spans="1:17" ht="13.5" customHeight="1" x14ac:dyDescent="0.3"/>
    <row r="5" spans="1:17" s="9" customFormat="1" ht="50.25" customHeight="1" x14ac:dyDescent="0.3">
      <c r="A5" s="7" t="s">
        <v>38</v>
      </c>
      <c r="B5" s="7" t="s">
        <v>53</v>
      </c>
      <c r="C5" s="7" t="s">
        <v>1</v>
      </c>
      <c r="D5" s="7" t="s">
        <v>41</v>
      </c>
      <c r="E5" s="7" t="s">
        <v>2</v>
      </c>
      <c r="F5" s="7" t="s">
        <v>42</v>
      </c>
      <c r="G5" s="7" t="s">
        <v>3</v>
      </c>
      <c r="H5" s="7" t="s">
        <v>4</v>
      </c>
      <c r="I5" s="7" t="s">
        <v>5</v>
      </c>
      <c r="J5" s="7" t="s">
        <v>6</v>
      </c>
      <c r="K5" s="7" t="s">
        <v>77</v>
      </c>
      <c r="L5" s="7" t="s">
        <v>78</v>
      </c>
      <c r="M5" s="7" t="s">
        <v>79</v>
      </c>
      <c r="N5" s="7" t="s">
        <v>80</v>
      </c>
      <c r="O5" s="7" t="s">
        <v>81</v>
      </c>
      <c r="P5" s="8" t="s">
        <v>0</v>
      </c>
      <c r="Q5" s="15"/>
    </row>
    <row r="6" spans="1:17" ht="50.25" customHeight="1" x14ac:dyDescent="0.3">
      <c r="A6" s="2">
        <v>1</v>
      </c>
      <c r="B6" s="3" t="s">
        <v>9</v>
      </c>
      <c r="C6" s="5" t="s">
        <v>56</v>
      </c>
      <c r="D6" s="23" t="s">
        <v>10</v>
      </c>
      <c r="E6" s="24" t="s">
        <v>11</v>
      </c>
      <c r="F6" s="25" t="s">
        <v>7</v>
      </c>
      <c r="G6" s="25" t="s">
        <v>12</v>
      </c>
      <c r="H6" s="25" t="s">
        <v>13</v>
      </c>
      <c r="I6" s="18">
        <v>1</v>
      </c>
      <c r="J6" s="3"/>
      <c r="K6" s="22"/>
      <c r="L6" s="29"/>
      <c r="M6" s="22">
        <f>K6-(K6*L6)</f>
        <v>0</v>
      </c>
      <c r="N6" s="10"/>
      <c r="O6" s="10"/>
      <c r="P6" s="12">
        <f>I6*M6</f>
        <v>0</v>
      </c>
      <c r="Q6" s="1"/>
    </row>
    <row r="7" spans="1:17" ht="50.25" customHeight="1" x14ac:dyDescent="0.3">
      <c r="A7" s="2">
        <v>2</v>
      </c>
      <c r="B7" s="37" t="s">
        <v>15</v>
      </c>
      <c r="C7" s="5" t="s">
        <v>56</v>
      </c>
      <c r="D7" s="23" t="s">
        <v>10</v>
      </c>
      <c r="E7" s="24" t="s">
        <v>11</v>
      </c>
      <c r="F7" s="25" t="s">
        <v>7</v>
      </c>
      <c r="G7" s="25" t="s">
        <v>12</v>
      </c>
      <c r="H7" s="25" t="s">
        <v>13</v>
      </c>
      <c r="I7" s="18">
        <v>10</v>
      </c>
      <c r="J7" s="4"/>
      <c r="K7" s="22"/>
      <c r="L7" s="29"/>
      <c r="M7" s="22">
        <f t="shared" ref="M7:M29" si="0">K7-(K7*L7)</f>
        <v>0</v>
      </c>
      <c r="N7" s="10"/>
      <c r="O7" s="10"/>
      <c r="P7" s="12">
        <f t="shared" ref="P7:P29" si="1">I7*M7</f>
        <v>0</v>
      </c>
      <c r="Q7" s="1"/>
    </row>
    <row r="8" spans="1:17" ht="50.25" customHeight="1" x14ac:dyDescent="0.3">
      <c r="A8" s="2">
        <v>3</v>
      </c>
      <c r="B8" s="37"/>
      <c r="C8" s="5" t="s">
        <v>19</v>
      </c>
      <c r="D8" s="23" t="s">
        <v>10</v>
      </c>
      <c r="E8" s="24" t="s">
        <v>75</v>
      </c>
      <c r="F8" s="25" t="s">
        <v>7</v>
      </c>
      <c r="G8" s="25" t="s">
        <v>74</v>
      </c>
      <c r="H8" s="25" t="s">
        <v>8</v>
      </c>
      <c r="I8" s="19">
        <v>24</v>
      </c>
      <c r="J8" s="3"/>
      <c r="K8" s="22"/>
      <c r="L8" s="29"/>
      <c r="M8" s="22">
        <f t="shared" si="0"/>
        <v>0</v>
      </c>
      <c r="N8" s="10"/>
      <c r="O8" s="10"/>
      <c r="P8" s="12">
        <f t="shared" si="1"/>
        <v>0</v>
      </c>
      <c r="Q8" s="1"/>
    </row>
    <row r="9" spans="1:17" ht="50.25" customHeight="1" x14ac:dyDescent="0.3">
      <c r="A9" s="2">
        <v>4</v>
      </c>
      <c r="B9" s="37" t="s">
        <v>20</v>
      </c>
      <c r="C9" s="5" t="s">
        <v>58</v>
      </c>
      <c r="D9" s="23" t="s">
        <v>10</v>
      </c>
      <c r="E9" s="24" t="s">
        <v>55</v>
      </c>
      <c r="F9" s="25" t="s">
        <v>7</v>
      </c>
      <c r="G9" s="25" t="s">
        <v>54</v>
      </c>
      <c r="H9" s="25" t="s">
        <v>8</v>
      </c>
      <c r="I9" s="18">
        <v>8</v>
      </c>
      <c r="J9" s="6"/>
      <c r="K9" s="22"/>
      <c r="L9" s="29"/>
      <c r="M9" s="22">
        <f t="shared" si="0"/>
        <v>0</v>
      </c>
      <c r="N9" s="10"/>
      <c r="O9" s="10"/>
      <c r="P9" s="12">
        <f t="shared" si="1"/>
        <v>0</v>
      </c>
      <c r="Q9" s="1"/>
    </row>
    <row r="10" spans="1:17" ht="50.25" customHeight="1" x14ac:dyDescent="0.3">
      <c r="A10" s="2">
        <v>5</v>
      </c>
      <c r="B10" s="37"/>
      <c r="C10" s="5" t="s">
        <v>19</v>
      </c>
      <c r="D10" s="23" t="s">
        <v>10</v>
      </c>
      <c r="E10" s="24" t="s">
        <v>75</v>
      </c>
      <c r="F10" s="25" t="s">
        <v>7</v>
      </c>
      <c r="G10" s="25" t="s">
        <v>74</v>
      </c>
      <c r="H10" s="25" t="s">
        <v>8</v>
      </c>
      <c r="I10" s="19">
        <v>7.5</v>
      </c>
      <c r="J10" s="6"/>
      <c r="K10" s="22"/>
      <c r="L10" s="29"/>
      <c r="M10" s="22">
        <f t="shared" si="0"/>
        <v>0</v>
      </c>
      <c r="N10" s="10"/>
      <c r="O10" s="10"/>
      <c r="P10" s="12">
        <f t="shared" si="1"/>
        <v>0</v>
      </c>
      <c r="Q10" s="1"/>
    </row>
    <row r="11" spans="1:17" ht="50.25" customHeight="1" x14ac:dyDescent="0.3">
      <c r="A11" s="2">
        <v>6</v>
      </c>
      <c r="B11" s="4" t="s">
        <v>14</v>
      </c>
      <c r="C11" s="5" t="s">
        <v>56</v>
      </c>
      <c r="D11" s="23" t="s">
        <v>10</v>
      </c>
      <c r="E11" s="24" t="s">
        <v>55</v>
      </c>
      <c r="F11" s="25" t="s">
        <v>7</v>
      </c>
      <c r="G11" s="25" t="s">
        <v>54</v>
      </c>
      <c r="H11" s="25" t="s">
        <v>8</v>
      </c>
      <c r="I11" s="18">
        <v>4</v>
      </c>
      <c r="J11" s="4"/>
      <c r="K11" s="22"/>
      <c r="L11" s="29"/>
      <c r="M11" s="22">
        <f t="shared" si="0"/>
        <v>0</v>
      </c>
      <c r="N11" s="10"/>
      <c r="O11" s="10"/>
      <c r="P11" s="12">
        <f t="shared" si="1"/>
        <v>0</v>
      </c>
      <c r="Q11" s="1"/>
    </row>
    <row r="12" spans="1:17" ht="90" customHeight="1" x14ac:dyDescent="0.3">
      <c r="A12" s="2">
        <v>7</v>
      </c>
      <c r="B12" s="37" t="s">
        <v>22</v>
      </c>
      <c r="C12" s="5" t="s">
        <v>23</v>
      </c>
      <c r="D12" s="26" t="s">
        <v>64</v>
      </c>
      <c r="E12" s="24" t="s">
        <v>76</v>
      </c>
      <c r="F12" s="25" t="s">
        <v>7</v>
      </c>
      <c r="G12" s="27" t="s">
        <v>63</v>
      </c>
      <c r="H12" s="25" t="s">
        <v>62</v>
      </c>
      <c r="I12" s="18">
        <v>10</v>
      </c>
      <c r="J12" s="3"/>
      <c r="K12" s="22"/>
      <c r="L12" s="29"/>
      <c r="M12" s="22">
        <f t="shared" si="0"/>
        <v>0</v>
      </c>
      <c r="N12" s="10"/>
      <c r="O12" s="10"/>
      <c r="P12" s="12">
        <f t="shared" si="1"/>
        <v>0</v>
      </c>
      <c r="Q12" s="1"/>
    </row>
    <row r="13" spans="1:17" ht="50.25" customHeight="1" x14ac:dyDescent="0.3">
      <c r="A13" s="2">
        <v>8</v>
      </c>
      <c r="B13" s="37"/>
      <c r="C13" s="5" t="s">
        <v>56</v>
      </c>
      <c r="D13" s="23" t="s">
        <v>10</v>
      </c>
      <c r="E13" s="24" t="s">
        <v>11</v>
      </c>
      <c r="F13" s="25" t="s">
        <v>7</v>
      </c>
      <c r="G13" s="25" t="s">
        <v>12</v>
      </c>
      <c r="H13" s="25" t="s">
        <v>13</v>
      </c>
      <c r="I13" s="18">
        <v>7</v>
      </c>
      <c r="J13" s="4"/>
      <c r="K13" s="22"/>
      <c r="L13" s="29"/>
      <c r="M13" s="22">
        <f t="shared" si="0"/>
        <v>0</v>
      </c>
      <c r="N13" s="10"/>
      <c r="O13" s="10"/>
      <c r="P13" s="12">
        <f t="shared" si="1"/>
        <v>0</v>
      </c>
      <c r="Q13" s="1"/>
    </row>
    <row r="14" spans="1:17" ht="50.25" customHeight="1" x14ac:dyDescent="0.3">
      <c r="A14" s="2">
        <v>9</v>
      </c>
      <c r="B14" s="37"/>
      <c r="C14" s="5" t="s">
        <v>19</v>
      </c>
      <c r="D14" s="23" t="s">
        <v>10</v>
      </c>
      <c r="E14" s="24" t="s">
        <v>75</v>
      </c>
      <c r="F14" s="25" t="s">
        <v>7</v>
      </c>
      <c r="G14" s="25" t="s">
        <v>74</v>
      </c>
      <c r="H14" s="25" t="s">
        <v>8</v>
      </c>
      <c r="I14" s="19">
        <v>33</v>
      </c>
      <c r="J14" s="6"/>
      <c r="K14" s="22"/>
      <c r="L14" s="29"/>
      <c r="M14" s="22">
        <f t="shared" si="0"/>
        <v>0</v>
      </c>
      <c r="N14" s="10"/>
      <c r="O14" s="10"/>
      <c r="P14" s="12">
        <f t="shared" si="1"/>
        <v>0</v>
      </c>
      <c r="Q14" s="20"/>
    </row>
    <row r="15" spans="1:17" ht="50.25" customHeight="1" x14ac:dyDescent="0.3">
      <c r="A15" s="2">
        <v>10</v>
      </c>
      <c r="B15" s="3" t="s">
        <v>24</v>
      </c>
      <c r="C15" s="5" t="s">
        <v>57</v>
      </c>
      <c r="D15" s="23" t="s">
        <v>10</v>
      </c>
      <c r="E15" s="24" t="s">
        <v>21</v>
      </c>
      <c r="F15" s="25" t="s">
        <v>7</v>
      </c>
      <c r="G15" s="25" t="s">
        <v>17</v>
      </c>
      <c r="H15" s="25" t="s">
        <v>18</v>
      </c>
      <c r="I15" s="17">
        <v>48</v>
      </c>
      <c r="J15" s="4"/>
      <c r="K15" s="22"/>
      <c r="L15" s="29"/>
      <c r="M15" s="22">
        <f t="shared" si="0"/>
        <v>0</v>
      </c>
      <c r="N15" s="10"/>
      <c r="O15" s="10"/>
      <c r="P15" s="12">
        <f t="shared" si="1"/>
        <v>0</v>
      </c>
      <c r="Q15" s="1"/>
    </row>
    <row r="16" spans="1:17" ht="50.25" customHeight="1" x14ac:dyDescent="0.3">
      <c r="A16" s="2">
        <v>11</v>
      </c>
      <c r="B16" s="4" t="s">
        <v>25</v>
      </c>
      <c r="C16" s="5" t="s">
        <v>56</v>
      </c>
      <c r="D16" s="23" t="s">
        <v>10</v>
      </c>
      <c r="E16" s="24" t="s">
        <v>21</v>
      </c>
      <c r="F16" s="25" t="s">
        <v>7</v>
      </c>
      <c r="G16" s="25" t="s">
        <v>17</v>
      </c>
      <c r="H16" s="25" t="s">
        <v>18</v>
      </c>
      <c r="I16" s="18">
        <v>2</v>
      </c>
      <c r="J16" s="4"/>
      <c r="K16" s="22"/>
      <c r="L16" s="29"/>
      <c r="M16" s="22">
        <f t="shared" si="0"/>
        <v>0</v>
      </c>
      <c r="N16" s="10"/>
      <c r="O16" s="10"/>
      <c r="P16" s="12">
        <f t="shared" si="1"/>
        <v>0</v>
      </c>
      <c r="Q16" s="1"/>
    </row>
    <row r="17" spans="1:17" ht="50.25" customHeight="1" x14ac:dyDescent="0.3">
      <c r="A17" s="2">
        <v>12</v>
      </c>
      <c r="B17" s="21" t="s">
        <v>26</v>
      </c>
      <c r="C17" s="5" t="s">
        <v>71</v>
      </c>
      <c r="D17" s="25" t="s">
        <v>51</v>
      </c>
      <c r="E17" s="28" t="s">
        <v>70</v>
      </c>
      <c r="F17" s="25" t="s">
        <v>27</v>
      </c>
      <c r="G17" s="25" t="s">
        <v>52</v>
      </c>
      <c r="H17" s="25" t="s">
        <v>28</v>
      </c>
      <c r="I17" s="18">
        <v>7</v>
      </c>
      <c r="J17" s="3"/>
      <c r="K17" s="22"/>
      <c r="L17" s="29"/>
      <c r="M17" s="22">
        <f t="shared" si="0"/>
        <v>0</v>
      </c>
      <c r="N17" s="10"/>
      <c r="O17" s="10"/>
      <c r="P17" s="12">
        <f t="shared" si="1"/>
        <v>0</v>
      </c>
      <c r="Q17" s="1"/>
    </row>
    <row r="18" spans="1:17" ht="50.25" customHeight="1" x14ac:dyDescent="0.3">
      <c r="A18" s="2">
        <v>13</v>
      </c>
      <c r="B18" s="37" t="s">
        <v>29</v>
      </c>
      <c r="C18" s="5" t="s">
        <v>56</v>
      </c>
      <c r="D18" s="23" t="s">
        <v>10</v>
      </c>
      <c r="E18" s="24" t="s">
        <v>66</v>
      </c>
      <c r="F18" s="25" t="s">
        <v>16</v>
      </c>
      <c r="G18" s="25" t="s">
        <v>12</v>
      </c>
      <c r="H18" s="25" t="s">
        <v>13</v>
      </c>
      <c r="I18" s="18">
        <v>12</v>
      </c>
      <c r="J18" s="4"/>
      <c r="K18" s="22"/>
      <c r="L18" s="29"/>
      <c r="M18" s="22">
        <f t="shared" si="0"/>
        <v>0</v>
      </c>
      <c r="N18" s="10"/>
      <c r="O18" s="10"/>
      <c r="P18" s="12">
        <f t="shared" si="1"/>
        <v>0</v>
      </c>
      <c r="Q18" s="1"/>
    </row>
    <row r="19" spans="1:17" ht="93.75" customHeight="1" x14ac:dyDescent="0.3">
      <c r="A19" s="2">
        <v>14</v>
      </c>
      <c r="B19" s="37"/>
      <c r="C19" s="5" t="s">
        <v>30</v>
      </c>
      <c r="D19" s="26" t="s">
        <v>64</v>
      </c>
      <c r="E19" s="24" t="s">
        <v>65</v>
      </c>
      <c r="F19" s="25" t="s">
        <v>16</v>
      </c>
      <c r="G19" s="25" t="s">
        <v>73</v>
      </c>
      <c r="H19" s="25" t="s">
        <v>72</v>
      </c>
      <c r="I19" s="18">
        <v>1</v>
      </c>
      <c r="J19" s="3"/>
      <c r="K19" s="22"/>
      <c r="L19" s="29"/>
      <c r="M19" s="22">
        <f t="shared" si="0"/>
        <v>0</v>
      </c>
      <c r="N19" s="10"/>
      <c r="O19" s="10"/>
      <c r="P19" s="12">
        <f t="shared" si="1"/>
        <v>0</v>
      </c>
      <c r="Q19" s="1"/>
    </row>
    <row r="20" spans="1:17" ht="50.25" customHeight="1" x14ac:dyDescent="0.3">
      <c r="A20" s="2">
        <v>15</v>
      </c>
      <c r="B20" s="3" t="s">
        <v>32</v>
      </c>
      <c r="C20" s="5" t="s">
        <v>56</v>
      </c>
      <c r="D20" s="23" t="s">
        <v>10</v>
      </c>
      <c r="E20" s="24" t="s">
        <v>66</v>
      </c>
      <c r="F20" s="25" t="s">
        <v>16</v>
      </c>
      <c r="G20" s="25" t="s">
        <v>12</v>
      </c>
      <c r="H20" s="25" t="s">
        <v>13</v>
      </c>
      <c r="I20" s="18">
        <v>1</v>
      </c>
      <c r="J20" s="4"/>
      <c r="K20" s="22"/>
      <c r="L20" s="29"/>
      <c r="M20" s="22">
        <f t="shared" si="0"/>
        <v>0</v>
      </c>
      <c r="N20" s="10"/>
      <c r="O20" s="10"/>
      <c r="P20" s="12">
        <f t="shared" si="1"/>
        <v>0</v>
      </c>
      <c r="Q20" s="1"/>
    </row>
    <row r="21" spans="1:17" ht="50.25" customHeight="1" x14ac:dyDescent="0.3">
      <c r="A21" s="2">
        <v>16</v>
      </c>
      <c r="B21" s="3" t="s">
        <v>33</v>
      </c>
      <c r="C21" s="5" t="s">
        <v>56</v>
      </c>
      <c r="D21" s="23" t="s">
        <v>10</v>
      </c>
      <c r="E21" s="24" t="s">
        <v>66</v>
      </c>
      <c r="F21" s="25" t="s">
        <v>16</v>
      </c>
      <c r="G21" s="25" t="s">
        <v>12</v>
      </c>
      <c r="H21" s="25" t="s">
        <v>13</v>
      </c>
      <c r="I21" s="18">
        <v>1</v>
      </c>
      <c r="J21" s="4"/>
      <c r="K21" s="22"/>
      <c r="L21" s="29"/>
      <c r="M21" s="22">
        <f t="shared" si="0"/>
        <v>0</v>
      </c>
      <c r="N21" s="10"/>
      <c r="O21" s="10"/>
      <c r="P21" s="12">
        <f t="shared" si="1"/>
        <v>0</v>
      </c>
      <c r="Q21" s="1"/>
    </row>
    <row r="22" spans="1:17" ht="50.25" customHeight="1" x14ac:dyDescent="0.3">
      <c r="A22" s="2">
        <v>17</v>
      </c>
      <c r="B22" s="3" t="s">
        <v>34</v>
      </c>
      <c r="C22" s="5" t="s">
        <v>56</v>
      </c>
      <c r="D22" s="23" t="s">
        <v>10</v>
      </c>
      <c r="E22" s="24" t="s">
        <v>66</v>
      </c>
      <c r="F22" s="25" t="s">
        <v>16</v>
      </c>
      <c r="G22" s="25" t="s">
        <v>12</v>
      </c>
      <c r="H22" s="25" t="s">
        <v>13</v>
      </c>
      <c r="I22" s="18">
        <v>4</v>
      </c>
      <c r="J22" s="4"/>
      <c r="K22" s="22"/>
      <c r="L22" s="29"/>
      <c r="M22" s="22">
        <f t="shared" si="0"/>
        <v>0</v>
      </c>
      <c r="N22" s="10"/>
      <c r="O22" s="10"/>
      <c r="P22" s="12">
        <f t="shared" si="1"/>
        <v>0</v>
      </c>
      <c r="Q22" s="1"/>
    </row>
    <row r="23" spans="1:17" ht="50.25" customHeight="1" x14ac:dyDescent="0.3">
      <c r="A23" s="2">
        <v>18</v>
      </c>
      <c r="B23" s="3" t="s">
        <v>35</v>
      </c>
      <c r="C23" s="5" t="s">
        <v>60</v>
      </c>
      <c r="D23" s="26" t="s">
        <v>46</v>
      </c>
      <c r="E23" s="24" t="s">
        <v>61</v>
      </c>
      <c r="F23" s="25" t="s">
        <v>16</v>
      </c>
      <c r="G23" s="25" t="s">
        <v>47</v>
      </c>
      <c r="H23" s="25" t="s">
        <v>18</v>
      </c>
      <c r="I23" s="18">
        <v>4</v>
      </c>
      <c r="J23" s="4"/>
      <c r="K23" s="22"/>
      <c r="L23" s="29"/>
      <c r="M23" s="22">
        <f t="shared" si="0"/>
        <v>0</v>
      </c>
      <c r="N23" s="10"/>
      <c r="O23" s="10"/>
      <c r="P23" s="12">
        <f t="shared" si="1"/>
        <v>0</v>
      </c>
      <c r="Q23" s="1"/>
    </row>
    <row r="24" spans="1:17" ht="50.25" customHeight="1" x14ac:dyDescent="0.3">
      <c r="A24" s="2">
        <v>19</v>
      </c>
      <c r="B24" s="4" t="s">
        <v>37</v>
      </c>
      <c r="C24" s="5" t="s">
        <v>59</v>
      </c>
      <c r="D24" s="26" t="s">
        <v>46</v>
      </c>
      <c r="E24" s="24" t="s">
        <v>36</v>
      </c>
      <c r="F24" s="25" t="s">
        <v>16</v>
      </c>
      <c r="G24" s="25" t="s">
        <v>47</v>
      </c>
      <c r="H24" s="25" t="s">
        <v>18</v>
      </c>
      <c r="I24" s="18">
        <v>4</v>
      </c>
      <c r="J24" s="4"/>
      <c r="K24" s="22"/>
      <c r="L24" s="29"/>
      <c r="M24" s="22">
        <f t="shared" si="0"/>
        <v>0</v>
      </c>
      <c r="N24" s="10"/>
      <c r="O24" s="10"/>
      <c r="P24" s="12">
        <f t="shared" si="1"/>
        <v>0</v>
      </c>
      <c r="Q24" s="1"/>
    </row>
    <row r="25" spans="1:17" ht="50.25" customHeight="1" x14ac:dyDescent="0.3">
      <c r="A25" s="2">
        <v>20</v>
      </c>
      <c r="B25" s="35" t="s">
        <v>43</v>
      </c>
      <c r="C25" s="5" t="s">
        <v>56</v>
      </c>
      <c r="D25" s="23" t="s">
        <v>10</v>
      </c>
      <c r="E25" s="24" t="s">
        <v>66</v>
      </c>
      <c r="F25" s="25" t="s">
        <v>16</v>
      </c>
      <c r="G25" s="25" t="s">
        <v>12</v>
      </c>
      <c r="H25" s="25" t="s">
        <v>13</v>
      </c>
      <c r="I25" s="18">
        <v>4</v>
      </c>
      <c r="J25" s="6"/>
      <c r="K25" s="22"/>
      <c r="L25" s="29"/>
      <c r="M25" s="22">
        <f t="shared" si="0"/>
        <v>0</v>
      </c>
      <c r="N25" s="10"/>
      <c r="O25" s="10"/>
      <c r="P25" s="12">
        <f t="shared" si="1"/>
        <v>0</v>
      </c>
      <c r="Q25" s="1"/>
    </row>
    <row r="26" spans="1:17" ht="50.25" customHeight="1" x14ac:dyDescent="0.3">
      <c r="A26" s="2">
        <v>21</v>
      </c>
      <c r="B26" s="36"/>
      <c r="C26" s="5" t="s">
        <v>45</v>
      </c>
      <c r="D26" s="25" t="s">
        <v>48</v>
      </c>
      <c r="E26" s="24" t="s">
        <v>50</v>
      </c>
      <c r="F26" s="25" t="s">
        <v>16</v>
      </c>
      <c r="G26" s="25" t="s">
        <v>49</v>
      </c>
      <c r="H26" s="25" t="s">
        <v>31</v>
      </c>
      <c r="I26" s="18">
        <v>2</v>
      </c>
      <c r="J26" s="4"/>
      <c r="K26" s="22"/>
      <c r="L26" s="29"/>
      <c r="M26" s="22">
        <f t="shared" si="0"/>
        <v>0</v>
      </c>
      <c r="N26" s="10"/>
      <c r="O26" s="10"/>
      <c r="P26" s="12">
        <f t="shared" si="1"/>
        <v>0</v>
      </c>
      <c r="Q26" s="1"/>
    </row>
    <row r="27" spans="1:17" ht="50.25" customHeight="1" x14ac:dyDescent="0.3">
      <c r="A27" s="2">
        <v>22</v>
      </c>
      <c r="B27" s="35" t="s">
        <v>44</v>
      </c>
      <c r="C27" s="5" t="s">
        <v>56</v>
      </c>
      <c r="D27" s="23" t="s">
        <v>10</v>
      </c>
      <c r="E27" s="24" t="s">
        <v>66</v>
      </c>
      <c r="F27" s="25" t="s">
        <v>16</v>
      </c>
      <c r="G27" s="25" t="s">
        <v>12</v>
      </c>
      <c r="H27" s="25" t="s">
        <v>13</v>
      </c>
      <c r="I27" s="18">
        <v>4</v>
      </c>
      <c r="J27" s="6"/>
      <c r="K27" s="22"/>
      <c r="L27" s="29"/>
      <c r="M27" s="22">
        <f t="shared" si="0"/>
        <v>0</v>
      </c>
      <c r="N27" s="10"/>
      <c r="O27" s="10"/>
      <c r="P27" s="12">
        <f t="shared" si="1"/>
        <v>0</v>
      </c>
      <c r="Q27" s="1"/>
    </row>
    <row r="28" spans="1:17" ht="50.25" customHeight="1" x14ac:dyDescent="0.3">
      <c r="A28" s="2">
        <v>23</v>
      </c>
      <c r="B28" s="36"/>
      <c r="C28" s="5" t="s">
        <v>45</v>
      </c>
      <c r="D28" s="25" t="s">
        <v>48</v>
      </c>
      <c r="E28" s="24" t="s">
        <v>50</v>
      </c>
      <c r="F28" s="25" t="s">
        <v>16</v>
      </c>
      <c r="G28" s="25" t="s">
        <v>49</v>
      </c>
      <c r="H28" s="25" t="s">
        <v>31</v>
      </c>
      <c r="I28" s="18">
        <v>1</v>
      </c>
      <c r="J28" s="4"/>
      <c r="K28" s="22"/>
      <c r="L28" s="29"/>
      <c r="M28" s="22">
        <f t="shared" si="0"/>
        <v>0</v>
      </c>
      <c r="N28" s="10"/>
      <c r="O28" s="10"/>
      <c r="P28" s="12">
        <f t="shared" si="1"/>
        <v>0</v>
      </c>
      <c r="Q28" s="1"/>
    </row>
    <row r="29" spans="1:17" ht="81.75" customHeight="1" x14ac:dyDescent="0.3">
      <c r="A29" s="2">
        <v>24</v>
      </c>
      <c r="B29" s="5" t="s">
        <v>67</v>
      </c>
      <c r="C29" s="5" t="s">
        <v>68</v>
      </c>
      <c r="D29" s="25" t="s">
        <v>10</v>
      </c>
      <c r="E29" s="24" t="s">
        <v>69</v>
      </c>
      <c r="F29" s="25" t="s">
        <v>47</v>
      </c>
      <c r="G29" s="25" t="s">
        <v>47</v>
      </c>
      <c r="H29" s="25" t="s">
        <v>47</v>
      </c>
      <c r="I29" s="18">
        <v>9</v>
      </c>
      <c r="J29" s="22"/>
      <c r="K29" s="22"/>
      <c r="L29" s="29"/>
      <c r="M29" s="22">
        <f t="shared" si="0"/>
        <v>0</v>
      </c>
      <c r="N29" s="10"/>
      <c r="O29" s="10"/>
      <c r="P29" s="12">
        <f t="shared" si="1"/>
        <v>0</v>
      </c>
      <c r="Q29" s="1"/>
    </row>
    <row r="30" spans="1:17" ht="50.25" customHeight="1" x14ac:dyDescent="0.3">
      <c r="K30" s="30"/>
      <c r="L30" s="30"/>
      <c r="M30" s="30"/>
      <c r="N30" s="31" t="s">
        <v>0</v>
      </c>
      <c r="O30" s="31"/>
      <c r="P30" s="11">
        <f>SUM(P6:P29)</f>
        <v>0</v>
      </c>
    </row>
    <row r="31" spans="1:17" ht="25.5" customHeight="1" x14ac:dyDescent="0.3">
      <c r="J31" s="13"/>
      <c r="K31" s="13"/>
      <c r="L31" s="13"/>
      <c r="M31" s="13"/>
      <c r="N31" s="13"/>
      <c r="O31" s="13"/>
      <c r="P31" s="14"/>
    </row>
  </sheetData>
  <autoFilter ref="A5:P30"/>
  <mergeCells count="8">
    <mergeCell ref="A3:P3"/>
    <mergeCell ref="A1:B1"/>
    <mergeCell ref="B27:B28"/>
    <mergeCell ref="B25:B26"/>
    <mergeCell ref="B7:B8"/>
    <mergeCell ref="B9:B10"/>
    <mergeCell ref="B12:B14"/>
    <mergeCell ref="B18:B19"/>
  </mergeCells>
  <pageMargins left="0.7" right="0.7" top="0.75" bottom="0.75" header="0.3" footer="0.3"/>
  <pageSetup paperSize="8" scale="53" fitToWidth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7027884</dc:creator>
  <cp:lastModifiedBy>PRAVEEN V K</cp:lastModifiedBy>
  <cp:lastPrinted>2019-04-29T06:26:14Z</cp:lastPrinted>
  <dcterms:created xsi:type="dcterms:W3CDTF">2016-04-18T09:23:35Z</dcterms:created>
  <dcterms:modified xsi:type="dcterms:W3CDTF">2019-07-16T06:57:29Z</dcterms:modified>
</cp:coreProperties>
</file>