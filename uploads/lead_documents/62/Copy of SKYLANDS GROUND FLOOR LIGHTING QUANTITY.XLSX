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 V K\Desktop\"/>
    </mc:Choice>
  </mc:AlternateContent>
  <bookViews>
    <workbookView xWindow="0" yWindow="0" windowWidth="23040" windowHeight="9384"/>
  </bookViews>
  <sheets>
    <sheet name="Sheet2" sheetId="4" r:id="rId1"/>
  </sheets>
  <definedNames>
    <definedName name="_xlnm.Print_Area" localSheetId="0">Sheet2!$A$2:$L$17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4" l="1"/>
  <c r="J7" i="4"/>
  <c r="J8" i="4"/>
  <c r="J9" i="4"/>
  <c r="J10" i="4"/>
  <c r="J4" i="4"/>
  <c r="J11" i="4" l="1"/>
</calcChain>
</file>

<file path=xl/sharedStrings.xml><?xml version="1.0" encoding="utf-8"?>
<sst xmlns="http://schemas.openxmlformats.org/spreadsheetml/2006/main" count="39" uniqueCount="39">
  <si>
    <t>Location</t>
  </si>
  <si>
    <t>Total Price</t>
  </si>
  <si>
    <t>Brand / Description</t>
  </si>
  <si>
    <t>NOTE:-</t>
  </si>
  <si>
    <t>2. Quantity is as per drawing, final quantities  should be checked befor indenting material.</t>
  </si>
  <si>
    <t>1. Prices / rate are approximate. Kindly negotiate befor placing the order.</t>
  </si>
  <si>
    <t>3. These are suggested fixtures by design team. One may search in other standard brands if available at lower cost within same look &amp; feel and specs.</t>
  </si>
  <si>
    <t>Fixture Type</t>
  </si>
  <si>
    <t>4. Match the same specifications to puraches the product.</t>
  </si>
  <si>
    <t>Image (Reference)</t>
  </si>
  <si>
    <t>TOTAL</t>
  </si>
  <si>
    <t>HYBEC
MODEL No: HLO-6017
Watt-2.2W
3000K
Body color - Graphite grey</t>
  </si>
  <si>
    <t>SKYLANDS GROUND FLOOR LIGHTING QUANTITIES</t>
  </si>
  <si>
    <t>Sr. No.</t>
  </si>
  <si>
    <t>Spike Light</t>
  </si>
  <si>
    <t>Post Top Light</t>
  </si>
  <si>
    <t>Bollard Light</t>
  </si>
  <si>
    <t>Concealed Wall Light</t>
  </si>
  <si>
    <t>Bracket Wall Light</t>
  </si>
  <si>
    <t>Ceiling Mounted Profile Light</t>
  </si>
  <si>
    <t>Hellonix or equivalent
Spike light - 5W with Spike
Beam Angle 40 Degree HSSP - 5W
3000K - IP 65
Graphite Grey - Body Color with Spike</t>
  </si>
  <si>
    <t>Tree Pits</t>
  </si>
  <si>
    <t>Quantity Nos.</t>
  </si>
  <si>
    <t>Peripheral Driveway, Central Vista, Lawn, Pool Deck</t>
  </si>
  <si>
    <t>Near Block J, K &amp; B</t>
  </si>
  <si>
    <t>Near the Bench as per Landscape Plan</t>
  </si>
  <si>
    <t>Make: LED LUM
Watts: 15W
IP 65
Body Colour: Graphite Grey
Light: Warm White
(Same as Uplands Promende)
OR
Hybec (Same fixture)</t>
  </si>
  <si>
    <t>Below Bench</t>
  </si>
  <si>
    <t>For Entries to Sports Amenity &amp; Pool Side</t>
  </si>
  <si>
    <t>Make : ASL
Ceiling Mounted Light
IP 65
Warm white (3000K)
12 watt
Beam Angle 60
Standard Length - 1 mt
Body Color - Graphite grey</t>
  </si>
  <si>
    <t>MRP</t>
  </si>
  <si>
    <t>Dis%</t>
  </si>
  <si>
    <t>Net Price</t>
  </si>
  <si>
    <t>GI Electric Poles for Post Top light</t>
  </si>
  <si>
    <t>Height - 4mt (13 Feet)</t>
  </si>
  <si>
    <t>Brand - Bajaj
Code-Florence- BaCP 45W LED WW
Finish - Powder Coating
Body Color - Graphite Grey
Fixture Dia - 530mm
Pole Price - Rs. 3000</t>
  </si>
  <si>
    <t>Brand - Philips
17394 Petrnia Anthracite LED wall Light IP 44
With 12 watt Bulb
1200 lumen
Warm White</t>
  </si>
  <si>
    <t>Quoted brand specification</t>
  </si>
  <si>
    <t>Quoted brand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</si>
</sst>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165" fontId="0" fillId="0" borderId="0" xfId="1" applyNumberFormat="1" applyFont="1" applyFill="1"/>
    <xf numFmtId="165" fontId="3" fillId="0" borderId="1" xfId="1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/>
    <xf numFmtId="165" fontId="0" fillId="0" borderId="0" xfId="1" applyNumberFormat="1" applyFont="1" applyFill="1" applyAlignment="1"/>
    <xf numFmtId="0" fontId="0" fillId="0" borderId="0" xfId="0" applyFill="1" applyAlignme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/>
    </xf>
    <xf numFmtId="14" fontId="0" fillId="0" borderId="0" xfId="0" applyNumberFormat="1" applyFill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FD8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489857</xdr:colOff>
      <xdr:row>7</xdr:row>
      <xdr:rowOff>103413</xdr:rowOff>
    </xdr:from>
    <xdr:to>
      <xdr:col>4</xdr:col>
      <xdr:colOff>2004112</xdr:colOff>
      <xdr:row>7</xdr:row>
      <xdr:rowOff>2476501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88" t="26899" r="23710" b="9275"/>
        <a:stretch/>
      </xdr:blipFill>
      <xdr:spPr>
        <a:xfrm>
          <a:off x="7361464" y="8267699"/>
          <a:ext cx="1514255" cy="2373088"/>
        </a:xfrm>
        <a:prstGeom prst="rect">
          <a:avLst/>
        </a:prstGeom>
      </xdr:spPr>
    </xdr:pic>
    <xdr:clientData/>
  </xdr:twoCellAnchor>
  <xdr:twoCellAnchor editAs="oneCell">
    <xdr:from>
      <xdr:col>4</xdr:col>
      <xdr:colOff>781050</xdr:colOff>
      <xdr:row>3</xdr:row>
      <xdr:rowOff>65403</xdr:rowOff>
    </xdr:from>
    <xdr:to>
      <xdr:col>4</xdr:col>
      <xdr:colOff>1786421</xdr:colOff>
      <xdr:row>3</xdr:row>
      <xdr:rowOff>2230818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25" t="-1" r="26164" b="5638"/>
        <a:stretch/>
      </xdr:blipFill>
      <xdr:spPr>
        <a:xfrm>
          <a:off x="7658100" y="1036953"/>
          <a:ext cx="1005371" cy="2165415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108857</xdr:colOff>
      <xdr:row>8</xdr:row>
      <xdr:rowOff>86840</xdr:rowOff>
    </xdr:from>
    <xdr:to>
      <xdr:col>4</xdr:col>
      <xdr:colOff>2361901</xdr:colOff>
      <xdr:row>8</xdr:row>
      <xdr:rowOff>2149929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7" t="18307" r="7066" b="7118"/>
        <a:stretch/>
      </xdr:blipFill>
      <xdr:spPr>
        <a:xfrm>
          <a:off x="6980464" y="10822876"/>
          <a:ext cx="2253044" cy="2063089"/>
        </a:xfrm>
        <a:prstGeom prst="rect">
          <a:avLst/>
        </a:prstGeom>
      </xdr:spPr>
    </xdr:pic>
    <xdr:clientData/>
  </xdr:twoCellAnchor>
  <xdr:twoCellAnchor editAs="oneCell">
    <xdr:from>
      <xdr:col>4</xdr:col>
      <xdr:colOff>65562</xdr:colOff>
      <xdr:row>4</xdr:row>
      <xdr:rowOff>518308</xdr:rowOff>
    </xdr:from>
    <xdr:to>
      <xdr:col>4</xdr:col>
      <xdr:colOff>1245587</xdr:colOff>
      <xdr:row>4</xdr:row>
      <xdr:rowOff>1488126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7169" y="3784022"/>
          <a:ext cx="1180025" cy="969818"/>
        </a:xfrm>
        <a:prstGeom prst="rect">
          <a:avLst/>
        </a:prstGeom>
      </xdr:spPr>
    </xdr:pic>
    <xdr:clientData/>
  </xdr:twoCellAnchor>
  <xdr:twoCellAnchor editAs="oneCell">
    <xdr:from>
      <xdr:col>4</xdr:col>
      <xdr:colOff>1313582</xdr:colOff>
      <xdr:row>4</xdr:row>
      <xdr:rowOff>27215</xdr:rowOff>
    </xdr:from>
    <xdr:to>
      <xdr:col>4</xdr:col>
      <xdr:colOff>2429041</xdr:colOff>
      <xdr:row>4</xdr:row>
      <xdr:rowOff>1809750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5" t="8022" r="13750" b="6984"/>
        <a:stretch/>
      </xdr:blipFill>
      <xdr:spPr>
        <a:xfrm>
          <a:off x="8185189" y="3292929"/>
          <a:ext cx="1115459" cy="1782535"/>
        </a:xfrm>
        <a:prstGeom prst="rect">
          <a:avLst/>
        </a:prstGeom>
      </xdr:spPr>
    </xdr:pic>
    <xdr:clientData/>
  </xdr:twoCellAnchor>
  <xdr:twoCellAnchor editAs="oneCell">
    <xdr:from>
      <xdr:col>4</xdr:col>
      <xdr:colOff>103333</xdr:colOff>
      <xdr:row>9</xdr:row>
      <xdr:rowOff>80405</xdr:rowOff>
    </xdr:from>
    <xdr:to>
      <xdr:col>4</xdr:col>
      <xdr:colOff>2369896</xdr:colOff>
      <xdr:row>9</xdr:row>
      <xdr:rowOff>1796143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2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4940" y="13007191"/>
          <a:ext cx="2266563" cy="171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469046</xdr:colOff>
      <xdr:row>6</xdr:row>
      <xdr:rowOff>7205</xdr:rowOff>
    </xdr:from>
    <xdr:to>
      <xdr:col>4</xdr:col>
      <xdr:colOff>1836965</xdr:colOff>
      <xdr:row>6</xdr:row>
      <xdr:rowOff>1624533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88" r="61396" b="35426"/>
        <a:stretch/>
      </xdr:blipFill>
      <xdr:spPr>
        <a:xfrm>
          <a:off x="7340653" y="5912705"/>
          <a:ext cx="1367919" cy="1617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tabSelected="1" zoomScale="70" zoomScaleNormal="70" zoomScaleSheetLayoutView="40" zoomScalePageLayoutView="10" workbookViewId="0">
      <selection activeCell="H5" sqref="H5"/>
    </sheetView>
  </sheetViews>
  <sheetFormatPr defaultColWidth="9.109375" defaultRowHeight="14.4" x14ac:dyDescent="0.3"/>
  <cols>
    <col min="1" max="1" width="9.109375" style="3"/>
    <col min="2" max="2" width="24.33203125" style="3" customWidth="1"/>
    <col min="3" max="3" width="41.109375" style="3" bestFit="1" customWidth="1"/>
    <col min="4" max="4" width="28.44140625" style="3" customWidth="1"/>
    <col min="5" max="5" width="36.44140625" style="3" customWidth="1"/>
    <col min="6" max="6" width="18.88671875" style="3" bestFit="1" customWidth="1"/>
    <col min="7" max="9" width="18.88671875" style="3" customWidth="1"/>
    <col min="10" max="10" width="16.88671875" style="1" bestFit="1" customWidth="1"/>
    <col min="11" max="11" width="23.109375" style="1" customWidth="1"/>
    <col min="12" max="12" width="28.44140625" style="3" customWidth="1"/>
    <col min="13" max="16384" width="9.109375" style="3"/>
  </cols>
  <sheetData>
    <row r="1" spans="1:12" ht="25.5" customHeight="1" x14ac:dyDescent="0.3">
      <c r="A1" s="21"/>
      <c r="B1" s="21"/>
      <c r="C1" s="6"/>
      <c r="D1" s="6"/>
      <c r="E1" s="6"/>
      <c r="F1" s="6"/>
      <c r="G1" s="6"/>
      <c r="H1" s="6"/>
      <c r="I1" s="6"/>
      <c r="J1" s="5"/>
      <c r="K1" s="5"/>
    </row>
    <row r="2" spans="1:12" ht="25.5" customHeight="1" x14ac:dyDescent="0.3">
      <c r="A2" s="22" t="s">
        <v>12</v>
      </c>
      <c r="B2" s="22"/>
      <c r="C2" s="22"/>
      <c r="D2" s="22"/>
      <c r="E2" s="22"/>
      <c r="F2" s="22"/>
      <c r="G2" s="22"/>
      <c r="H2" s="22"/>
      <c r="I2" s="22"/>
      <c r="J2" s="22"/>
      <c r="K2" s="19"/>
      <c r="L2" s="8"/>
    </row>
    <row r="3" spans="1:12" ht="41.25" customHeight="1" x14ac:dyDescent="0.3">
      <c r="A3" s="10" t="s">
        <v>13</v>
      </c>
      <c r="B3" s="10" t="s">
        <v>7</v>
      </c>
      <c r="C3" s="10" t="s">
        <v>2</v>
      </c>
      <c r="D3" s="10" t="s">
        <v>0</v>
      </c>
      <c r="E3" s="10" t="s">
        <v>9</v>
      </c>
      <c r="F3" s="10" t="s">
        <v>22</v>
      </c>
      <c r="G3" s="10" t="s">
        <v>30</v>
      </c>
      <c r="H3" s="10" t="s">
        <v>31</v>
      </c>
      <c r="I3" s="10" t="s">
        <v>32</v>
      </c>
      <c r="J3" s="2" t="s">
        <v>1</v>
      </c>
      <c r="K3" s="19" t="s">
        <v>37</v>
      </c>
      <c r="L3" s="19" t="s">
        <v>38</v>
      </c>
    </row>
    <row r="4" spans="1:12" ht="180" customHeight="1" x14ac:dyDescent="0.35">
      <c r="A4" s="11">
        <v>1</v>
      </c>
      <c r="B4" s="11" t="s">
        <v>14</v>
      </c>
      <c r="C4" s="12" t="s">
        <v>20</v>
      </c>
      <c r="D4" s="11" t="s">
        <v>21</v>
      </c>
      <c r="E4" s="9"/>
      <c r="F4" s="11">
        <v>81</v>
      </c>
      <c r="G4" s="11"/>
      <c r="H4" s="11"/>
      <c r="I4" s="11"/>
      <c r="J4" s="13">
        <f>I4*F4</f>
        <v>0</v>
      </c>
      <c r="K4" s="13"/>
      <c r="L4" s="14"/>
    </row>
    <row r="5" spans="1:12" ht="149.25" customHeight="1" x14ac:dyDescent="0.3">
      <c r="A5" s="11">
        <v>2</v>
      </c>
      <c r="B5" s="12" t="s">
        <v>15</v>
      </c>
      <c r="C5" s="12" t="s">
        <v>35</v>
      </c>
      <c r="D5" s="12" t="s">
        <v>23</v>
      </c>
      <c r="E5" s="11"/>
      <c r="F5" s="11">
        <v>57</v>
      </c>
      <c r="G5" s="11"/>
      <c r="H5" s="11"/>
      <c r="I5" s="11"/>
      <c r="J5" s="13">
        <f t="shared" ref="J5:J10" si="0">I5*F5</f>
        <v>0</v>
      </c>
      <c r="K5" s="13"/>
      <c r="L5" s="12"/>
    </row>
    <row r="6" spans="1:12" ht="58.5" customHeight="1" x14ac:dyDescent="0.3">
      <c r="A6" s="11"/>
      <c r="B6" s="12" t="s">
        <v>33</v>
      </c>
      <c r="C6" s="12" t="s">
        <v>34</v>
      </c>
      <c r="D6" s="12"/>
      <c r="E6" s="11"/>
      <c r="F6" s="11">
        <v>57</v>
      </c>
      <c r="G6" s="11"/>
      <c r="H6" s="11"/>
      <c r="I6" s="11"/>
      <c r="J6" s="13"/>
      <c r="K6" s="13"/>
      <c r="L6" s="12"/>
    </row>
    <row r="7" spans="1:12" customFormat="1" ht="130.5" customHeight="1" x14ac:dyDescent="0.35">
      <c r="A7" s="11">
        <v>3</v>
      </c>
      <c r="B7" s="11" t="s">
        <v>18</v>
      </c>
      <c r="C7" s="15" t="s">
        <v>36</v>
      </c>
      <c r="D7" s="12" t="s">
        <v>24</v>
      </c>
      <c r="E7" s="11"/>
      <c r="F7" s="11">
        <v>3</v>
      </c>
      <c r="G7" s="11"/>
      <c r="H7" s="11"/>
      <c r="I7" s="11"/>
      <c r="J7" s="13">
        <f t="shared" si="0"/>
        <v>0</v>
      </c>
      <c r="K7" s="13"/>
      <c r="L7" s="16"/>
    </row>
    <row r="8" spans="1:12" ht="202.5" customHeight="1" x14ac:dyDescent="0.35">
      <c r="A8" s="11">
        <v>4</v>
      </c>
      <c r="B8" s="11" t="s">
        <v>16</v>
      </c>
      <c r="C8" s="15" t="s">
        <v>26</v>
      </c>
      <c r="D8" s="12" t="s">
        <v>25</v>
      </c>
      <c r="E8" s="11"/>
      <c r="F8" s="11">
        <v>6</v>
      </c>
      <c r="G8" s="11"/>
      <c r="H8" s="11"/>
      <c r="I8" s="11"/>
      <c r="J8" s="13">
        <f t="shared" si="0"/>
        <v>0</v>
      </c>
      <c r="K8" s="13"/>
      <c r="L8" s="14"/>
    </row>
    <row r="9" spans="1:12" ht="172.5" customHeight="1" x14ac:dyDescent="0.35">
      <c r="A9" s="11">
        <v>5</v>
      </c>
      <c r="B9" s="12" t="s">
        <v>17</v>
      </c>
      <c r="C9" s="12" t="s">
        <v>11</v>
      </c>
      <c r="D9" s="12" t="s">
        <v>27</v>
      </c>
      <c r="E9" s="11"/>
      <c r="F9" s="11">
        <v>51</v>
      </c>
      <c r="G9" s="11"/>
      <c r="H9" s="11"/>
      <c r="I9" s="11"/>
      <c r="J9" s="13">
        <f t="shared" si="0"/>
        <v>0</v>
      </c>
      <c r="K9" s="13"/>
      <c r="L9" s="14"/>
    </row>
    <row r="10" spans="1:12" ht="163.5" customHeight="1" x14ac:dyDescent="0.35">
      <c r="A10" s="11">
        <v>6</v>
      </c>
      <c r="B10" s="12" t="s">
        <v>19</v>
      </c>
      <c r="C10" s="12" t="s">
        <v>29</v>
      </c>
      <c r="D10" s="12" t="s">
        <v>28</v>
      </c>
      <c r="E10" s="11"/>
      <c r="F10" s="11">
        <v>8</v>
      </c>
      <c r="G10" s="11"/>
      <c r="H10" s="11"/>
      <c r="I10" s="11"/>
      <c r="J10" s="13">
        <f t="shared" si="0"/>
        <v>0</v>
      </c>
      <c r="K10" s="13"/>
      <c r="L10" s="14"/>
    </row>
    <row r="11" spans="1:12" ht="28.5" customHeight="1" x14ac:dyDescent="0.4">
      <c r="A11" s="17"/>
      <c r="B11" s="10" t="s">
        <v>10</v>
      </c>
      <c r="C11" s="22"/>
      <c r="D11" s="22"/>
      <c r="E11" s="22"/>
      <c r="F11" s="22"/>
      <c r="G11" s="7"/>
      <c r="H11" s="7"/>
      <c r="I11" s="7"/>
      <c r="J11" s="2">
        <f>SUM(J4:J10)</f>
        <v>0</v>
      </c>
      <c r="K11" s="2"/>
      <c r="L11" s="18"/>
    </row>
    <row r="13" spans="1:12" x14ac:dyDescent="0.3">
      <c r="A13" s="23" t="s">
        <v>3</v>
      </c>
      <c r="B13" s="23"/>
      <c r="C13" s="23"/>
      <c r="D13" s="23"/>
      <c r="E13" s="23"/>
    </row>
    <row r="14" spans="1:12" x14ac:dyDescent="0.3">
      <c r="A14" s="20" t="s">
        <v>5</v>
      </c>
      <c r="B14" s="20"/>
      <c r="C14" s="20"/>
      <c r="D14" s="20"/>
      <c r="E14" s="20"/>
    </row>
    <row r="15" spans="1:12" x14ac:dyDescent="0.3">
      <c r="A15" s="20" t="s">
        <v>4</v>
      </c>
      <c r="B15" s="20"/>
      <c r="C15" s="20"/>
      <c r="D15" s="20"/>
      <c r="E15" s="20"/>
    </row>
    <row r="16" spans="1:12" x14ac:dyDescent="0.3">
      <c r="A16" s="4" t="s">
        <v>6</v>
      </c>
      <c r="B16" s="4"/>
      <c r="C16" s="4"/>
      <c r="D16" s="4"/>
      <c r="E16" s="4"/>
    </row>
    <row r="17" spans="1:5" x14ac:dyDescent="0.3">
      <c r="A17" s="20" t="s">
        <v>8</v>
      </c>
      <c r="B17" s="20"/>
      <c r="C17" s="20"/>
      <c r="D17" s="20"/>
      <c r="E17" s="20"/>
    </row>
  </sheetData>
  <mergeCells count="7">
    <mergeCell ref="A15:E15"/>
    <mergeCell ref="A17:E17"/>
    <mergeCell ref="A1:B1"/>
    <mergeCell ref="C11:F11"/>
    <mergeCell ref="A2:J2"/>
    <mergeCell ref="A13:E13"/>
    <mergeCell ref="A14:E14"/>
  </mergeCells>
  <pageMargins left="0.25" right="0.25" top="0.75" bottom="0.75" header="0.3" footer="0.3"/>
  <pageSetup paperSize="8" scale="64" orientation="portrait" r:id="rId1"/>
  <rowBreaks count="1" manualBreakCount="1">
    <brk id="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7027884</dc:creator>
  <cp:lastModifiedBy>PRAVEEN V K</cp:lastModifiedBy>
  <cp:lastPrinted>2019-02-07T10:35:21Z</cp:lastPrinted>
  <dcterms:created xsi:type="dcterms:W3CDTF">2016-04-18T09:23:35Z</dcterms:created>
  <dcterms:modified xsi:type="dcterms:W3CDTF">2019-07-16T06:56:55Z</dcterms:modified>
</cp:coreProperties>
</file>