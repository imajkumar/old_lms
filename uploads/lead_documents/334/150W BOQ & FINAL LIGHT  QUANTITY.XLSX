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BOQ" sheetId="1" r:id="rId1"/>
    <sheet name="LIGHTS" sheetId="2" r:id="rId2"/>
    <sheet name="Sheet3" sheetId="3" r:id="rId3"/>
  </sheets>
  <calcPr calcId="144525"/>
</workbook>
</file>

<file path=xl/calcChain.xml><?xml version="1.0" encoding="utf-8"?>
<calcChain xmlns="http://schemas.openxmlformats.org/spreadsheetml/2006/main">
  <c r="D39" i="2" l="1"/>
  <c r="R39" i="2" l="1"/>
  <c r="Q39" i="2"/>
  <c r="P39" i="2"/>
  <c r="O39" i="2"/>
  <c r="N39" i="2"/>
  <c r="M39" i="2"/>
  <c r="L39" i="2"/>
  <c r="K39" i="2"/>
  <c r="J39" i="2"/>
  <c r="I39" i="2"/>
  <c r="H39" i="2"/>
  <c r="G39" i="2"/>
  <c r="F39" i="2"/>
  <c r="E39" i="2"/>
  <c r="C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39" i="2" l="1"/>
</calcChain>
</file>

<file path=xl/sharedStrings.xml><?xml version="1.0" encoding="utf-8"?>
<sst xmlns="http://schemas.openxmlformats.org/spreadsheetml/2006/main" count="90" uniqueCount="89">
  <si>
    <t>sl no</t>
  </si>
  <si>
    <t>DESCRIPTION OF LIGHTING FIXTURE as per SIJCON desgin</t>
  </si>
  <si>
    <t>WATTS</t>
  </si>
  <si>
    <t>QUANTITY</t>
  </si>
  <si>
    <t>Lux level required</t>
  </si>
  <si>
    <t>AREA</t>
  </si>
  <si>
    <t xml:space="preserve">Supply of LED Highbay fixture IP65 protected Die-Cast Aluminium housing, pre anodised aluminium reflector with Lense having proper 100 Deg Beam angle for uniform distribution. LED shall having LM80 complied as per L70 standard LEDs minimum tested for 10,000 burning hours with 5000K CCT only. LED Make shall be Bridglux, Citizen, and Osram only. Maximum power consumption shall be not be exceed 150W </t>
  </si>
  <si>
    <t>MAIN PLANT/TRIMMING SILO</t>
  </si>
  <si>
    <t>Supply of Recess mounted 2x2 Feet fixture with CRCA powder coated housing and Engineering plastic bottom frame with full HET diffuser. LED shall having LM80 complied as per L70 standard LEDs minimum tested for 10,000 burning hours with 5700-6000K CCT. Maximum power consumption shall be not be exceed 36W and system lumens shall not be less than 3000.  Driver shall be Multi stage Constant Current Constant Voltage with voltage range of 150-270V AC. Output voltage of driver should be complied to Safety Extra Low Voltage norms not exceeding 60V DC only. Driver Power factor shall be 0.95 and above and THD shall be less than 20%.</t>
  </si>
  <si>
    <t>OFFICE ROOMS</t>
  </si>
  <si>
    <t>Supply of LED Flood Light fixture with IP66 protected Die-Cast Aluminium housing. Plycarbonate Lense with proper Beam angle and uniform distribution. LED shall having LM80 complied as per L70 standard LEDs minimum tested for 10,000 burning hours with 5000K CCT only. LED Make shall be Bridglux, Citizen, and Osram only. Maximum power consumption shall be not be exceed 350W and system lumens shall not be less than 35000.  Driver shall be Multi stage Constant Current Constant Voltage with voltage range of 150-270 AC. Output voltage of driver should be complied to Safety Extra Low Voltage norms not exceeding 60V DC only. Driver Power factor shall be 0.95 and above and THD shall be less than 10%.</t>
  </si>
  <si>
    <t>REFINER/HT YARD/SILOS/EXTERNAL LIGHTING</t>
  </si>
  <si>
    <t>Supply of 2X20W LED 
4-Feet Fixture with Max. 2X20W power consumption having min. 2X2000 System lumens, Driver shall be 2kV Surge protected CCCV operation having voltage range of 85-270V. DC Output of driver shall be less than 60V DC as complied to SELV Norms.</t>
  </si>
  <si>
    <t>HT ROOM/LT ROOM/CONTROL ROOMS</t>
  </si>
  <si>
    <t>Supply of Surface / Wall mounted LED Batten with engineering plastic housing in 4 Feet Length with in built LED strip. LED shall be having LM80 complied as per L70 standard LEDs with 6000-6500K CCT. Maximum power consumption shall be 20W with min. 2000 system lumens.  CCCV driver with voltage range of 150-270V AC and DC Output of driver shall be less than 60V DC as complied to SELV Norms.</t>
  </si>
  <si>
    <t>TRANSFORMER ROOM</t>
  </si>
  <si>
    <t>Supply of Surface/Wall mounted IP65 LED Channel fixture with Max. 39W power consumption having min. 4100 system lumens, Anti corrosive poly carbonate housing. LED Make shall be CITIZEN,CREE and NICHIA of SMD type in 5700k CCT. All the LEDs shall be LM80 Complied as per L70 standard for Min 10000 Hours. Driver shall be 2kV Surge protected CCCV operation having voltage range of 150-270V. DC Output of driver shall be less than 60V DC as complied to SELV Norms.</t>
  </si>
  <si>
    <t>COMPRESSOR ROOM</t>
  </si>
  <si>
    <t>Supply of IP-66 protected LED Canopy / mid-bay Light with Max. 80W Power consumption and min. 8,000 system lumens, built in Aluminium housing die cast  for proper heat dissipation. LED Make shall be CITIZEN,CREE and NICHIA &amp; OSRAM of SMD LED with CCT 5700k. All the LEDs shall be LM80 Complied as per L70 standard for Min 10000 Hours(Burning Hour Life is 50,000 hours from TM-21,L 70 Projection). Driver shall be 4kV Surge protected CCCV operation having voltage range of 140-270V. DC Output of driver shall be less than 60V DC as complied to SELV Norms. Power Factor of Driver with more than 0.95 and Above and THD less than 10% only,AND Comply SELV(Safety Extra Low Wattage) &amp; APFC(Automatic Power Factor Correction).</t>
  </si>
  <si>
    <t>CANOPY/CHIPPER/FUEL SHED/MES BUILDING/ENERGY PLANT</t>
  </si>
  <si>
    <t>Supply of Surface mounted LED Down lighter fixture with white powder coated Die-cast aluminium housing and HET diffuser for better light distribution. LED shall be having LM80 complied as per L70 standard LEDs with 5700-6000K CCT. Maximum power consumption shall be 12W with min. 1000 system lumens.  Multi stage CCCV driver with voltage range of 150-270V AC and DC Output of driver shall be less than 60V DC as complied to SELV Norms.</t>
  </si>
  <si>
    <t>REST ROOMS</t>
  </si>
  <si>
    <t>Supply of Surface mounted LED Batten with engineering plastic housingin 2 Feet Length with in built LED strip. LED shall be having LM80 complied as per L70 standard LEDs with 6000-6500K CCT. Maximum power consumption shall be 10W with min. 1000 system lumens.  CCCV driver with voltage range of 150-270V AC and DC Output of driver shall be less than 60V DC as complied to SELV Norms.</t>
  </si>
  <si>
    <t>Supply of Surface/Wall mounted LED Batten made up of engineering plastic. LED shall having LM80 complied as per L70 standard LEDs minimum tested for 10,000 burning hours with 6000-6500K CCT. Maximum power consumption shall be not be exceed 10W and system lumens shall not be less than 900.  Driver shall be multi stage Constant Current Constant Voltage with voltage range of 150-270V AC. Output voltage of driver should be complied to Safety Extra Low Voltage norms not exceeding 60V DC only. Driver Power factor shall be 0.95 and above and THD shall be less than 20%. (Mirror Light).</t>
  </si>
  <si>
    <t>Supply of IP-66 protected LED Street Light with Max. 70W Power consumption and min. 7000 system lumens, built in pressure die cast Aluminium housing for proper heat dissipation. LED Make shall be CITIZEN,CREE and NICHIA &amp; Osram of SMD LED with CCT 5700k. All the LEDs shall be LM80 Complied as per L70 standard for Min 10000 Hours. (Burning Hour Life is 50,000 hours from TM-21,L 70 Projection). DC Output of driver shall be less than 60V DC as complied to SELV Norms. Driver shall be 4kV Surge protected CCCV operation having voltage range of 120-300V.</t>
  </si>
  <si>
    <t>STREET LIGHTS</t>
  </si>
  <si>
    <t>Supply of IP-65 protected LED Post Top with Max. 45W Power consumption and min. 3500 system lumens, built in die cast Aluminium housing for proper heat dissipation. LED Make shall be CITIZEN,CREE and NICHIA of SMD LED with CCT 5700k. All the LEDs shall be LM80 Complied as per L70 standard for Min 10000 Hours. Driver shall be 4kV Surge protected CCCV operation having voltage range of 150-270V. DC Output of driver shall be less than 60V DC as complied to SELV Norms.</t>
  </si>
  <si>
    <t>MAIN GATE</t>
  </si>
  <si>
    <t>TOTAL</t>
  </si>
  <si>
    <t>Total Area Lighting sheet</t>
  </si>
  <si>
    <t>S.no</t>
  </si>
  <si>
    <t>Area &amp; Grid</t>
  </si>
  <si>
    <t>150W HIGHBAY</t>
  </si>
  <si>
    <t>2*20 LED</t>
  </si>
  <si>
    <t>36W Light (2*2)ft</t>
  </si>
  <si>
    <t>80W LED Mid bay</t>
  </si>
  <si>
    <t>20W LED</t>
  </si>
  <si>
    <t>39W LED</t>
  </si>
  <si>
    <t>350W LED flood light</t>
  </si>
  <si>
    <t>12W surface mounted</t>
  </si>
  <si>
    <t>2*20W Wall</t>
  </si>
  <si>
    <t>45W LED</t>
  </si>
  <si>
    <t>70W out door</t>
  </si>
  <si>
    <t>400W LED</t>
  </si>
  <si>
    <t>20W wall mounted</t>
  </si>
  <si>
    <t>10W LED Batterne</t>
  </si>
  <si>
    <t>10W LED  (2 Ft)</t>
  </si>
  <si>
    <t>Total Quantity</t>
  </si>
  <si>
    <t>A - A'</t>
  </si>
  <si>
    <t>A - B</t>
  </si>
  <si>
    <t>B  - C</t>
  </si>
  <si>
    <t>C - D</t>
  </si>
  <si>
    <t>D - E</t>
  </si>
  <si>
    <t>Refiner</t>
  </si>
  <si>
    <t>Refiner First and Second floor area</t>
  </si>
  <si>
    <t>Lab</t>
  </si>
  <si>
    <t>Pump room</t>
  </si>
  <si>
    <t>Admin Toilet</t>
  </si>
  <si>
    <t>Main plant toilet</t>
  </si>
  <si>
    <t>MRSS</t>
  </si>
  <si>
    <t>Main Chipper</t>
  </si>
  <si>
    <t xml:space="preserve">Fuel Chipper </t>
  </si>
  <si>
    <t>MES Building</t>
  </si>
  <si>
    <t xml:space="preserve">Fuel Shed </t>
  </si>
  <si>
    <t>Street Lights</t>
  </si>
  <si>
    <t>Security Room</t>
  </si>
  <si>
    <t>Workers Quarters</t>
  </si>
  <si>
    <t>Energy plant</t>
  </si>
  <si>
    <t>Energy plant control room</t>
  </si>
  <si>
    <t>ESP Area</t>
  </si>
  <si>
    <t>Admin building</t>
  </si>
  <si>
    <t>Sanding Silo</t>
  </si>
  <si>
    <t>Reject Silo</t>
  </si>
  <si>
    <t>Trimming Silo</t>
  </si>
  <si>
    <t>Dryer area</t>
  </si>
  <si>
    <t>Startup cyclone area</t>
  </si>
  <si>
    <t>ETP &amp; STP</t>
  </si>
  <si>
    <t>Utility control Room</t>
  </si>
  <si>
    <t>Sanding room</t>
  </si>
  <si>
    <t>North Security Cabin</t>
  </si>
  <si>
    <t>Chip Storage area</t>
  </si>
  <si>
    <t>Resin Storage area</t>
  </si>
  <si>
    <t>Shifter area</t>
  </si>
  <si>
    <t>132 KV Transformer yard area</t>
  </si>
  <si>
    <t>Total</t>
  </si>
  <si>
    <t xml:space="preserve">Supply of LED flood light  fixture IP65 protected Die-Cast Aluminium housing, pre anodised aluminium reflector with Lense having proper 100 Deg Beam angle for uniform distribution. LED shall having LM80 complied as per L70 standard LEDs minimum tested for 10,000 burning hours with 5000K CCT only. LED Make shall be Bridglux, Citizen, and Osram only. Maximum power consumption shall be not be exceed 150W </t>
  </si>
  <si>
    <t>150W flood light</t>
  </si>
  <si>
    <t>HIGHMAST TOWER</t>
  </si>
  <si>
    <t>Supply of IP-66 protected LED Flood Light with Max. 400W Power consumption and min. 40000 system lumens, built in pressure die cast Aluminium housing for proper heat dissipation. LED Make shall be CITIZEN,CREE and NICHIA &amp; Osram of SMD LED with CCT 5700k. All the LEDs shall be LM80 Complied as per L70 standard for Min 10000 Hours. (Burning Hour Life is 50,000 hours from TM-21,L 70 Projection). DC Output of driver shall be less than 60V DC as complied to SELV Norms. Driver shall be 4kV Surge protected CCCV operation having voltage range of 120-300V.</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</si>
</sst>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indexed="8"/>
      <name val="Lucida Console"/>
      <family val="3"/>
    </font>
    <font>
      <sz val="10"/>
      <name val="Lucida Console"/>
      <family val="3"/>
    </font>
    <font>
      <b/>
      <sz val="12"/>
      <color theme="1"/>
      <name val="Lucida Console"/>
      <family val="3"/>
    </font>
    <font>
      <sz val="11"/>
      <color theme="1"/>
      <name val="Lucida Console"/>
      <family val="3"/>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applyBorder="1"/>
    <xf numFmtId="0" fontId="1" fillId="0" borderId="2" xfId="0" applyFont="1" applyBorder="1" applyAlignment="1">
      <alignment horizontal="center" vertical="center"/>
    </xf>
    <xf numFmtId="0" fontId="2" fillId="2" borderId="3" xfId="0" applyFont="1" applyFill="1" applyBorder="1" applyAlignment="1">
      <alignment vertical="top"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2" borderId="2" xfId="0" applyFont="1" applyFill="1" applyBorder="1" applyAlignment="1">
      <alignment horizontal="center" vertical="center" wrapText="1"/>
    </xf>
    <xf numFmtId="0" fontId="1" fillId="0" borderId="1" xfId="0" applyFont="1" applyBorder="1" applyAlignment="1">
      <alignment vertical="center" wrapText="1"/>
    </xf>
    <xf numFmtId="0" fontId="2" fillId="2" borderId="1" xfId="0" applyFont="1" applyFill="1" applyBorder="1" applyAlignment="1">
      <alignment horizontal="left" vertical="top" wrapText="1"/>
    </xf>
    <xf numFmtId="0" fontId="1" fillId="0" borderId="1" xfId="0" applyFont="1" applyBorder="1" applyAlignment="1">
      <alignment vertical="center"/>
    </xf>
    <xf numFmtId="0" fontId="1" fillId="0" borderId="1" xfId="0" applyFont="1" applyFill="1" applyBorder="1" applyAlignment="1">
      <alignment horizontal="center" vertical="center"/>
    </xf>
    <xf numFmtId="0" fontId="1" fillId="0" borderId="1" xfId="0" applyFont="1" applyBorder="1"/>
    <xf numFmtId="0" fontId="1" fillId="0" borderId="0" xfId="0" applyFont="1" applyBorder="1" applyAlignment="1">
      <alignment horizontal="center" vertical="center"/>
    </xf>
    <xf numFmtId="0" fontId="2" fillId="2" borderId="0" xfId="0" applyFont="1" applyFill="1" applyBorder="1" applyAlignment="1">
      <alignment horizontal="center" vertical="center" wrapText="1"/>
    </xf>
    <xf numFmtId="0" fontId="1" fillId="0" borderId="0" xfId="0" applyFont="1" applyBorder="1" applyAlignment="1">
      <alignment horizontal="left"/>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2" xfId="0" applyFont="1" applyBorder="1" applyAlignment="1">
      <alignment vertical="center"/>
    </xf>
    <xf numFmtId="0" fontId="4" fillId="0" borderId="2" xfId="0" applyFont="1" applyBorder="1" applyAlignment="1">
      <alignment vertical="center" wrapText="1"/>
    </xf>
    <xf numFmtId="0" fontId="4"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horizontal="center"/>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workbookViewId="0">
      <selection activeCell="B4" sqref="B4"/>
    </sheetView>
  </sheetViews>
  <sheetFormatPr defaultRowHeight="12.75" x14ac:dyDescent="0.2"/>
  <cols>
    <col min="1" max="1" width="7.85546875" style="12" customWidth="1"/>
    <col min="2" max="2" width="63.28515625" style="1" customWidth="1"/>
    <col min="3" max="3" width="6.7109375" style="12" customWidth="1"/>
    <col min="4" max="4" width="13.7109375" style="1" bestFit="1" customWidth="1"/>
    <col min="5" max="5" width="17.7109375" style="12" customWidth="1"/>
    <col min="6" max="6" width="19.7109375" style="1" customWidth="1"/>
    <col min="7" max="16384" width="9.140625" style="1"/>
  </cols>
  <sheetData>
    <row r="1" spans="1:6" x14ac:dyDescent="0.2">
      <c r="A1" s="26" t="s">
        <v>0</v>
      </c>
      <c r="B1" s="26" t="s">
        <v>1</v>
      </c>
      <c r="C1" s="26" t="s">
        <v>2</v>
      </c>
      <c r="D1" s="27" t="s">
        <v>3</v>
      </c>
      <c r="E1" s="29" t="s">
        <v>4</v>
      </c>
      <c r="F1" s="26" t="s">
        <v>5</v>
      </c>
    </row>
    <row r="2" spans="1:6" x14ac:dyDescent="0.2">
      <c r="A2" s="26"/>
      <c r="B2" s="26"/>
      <c r="C2" s="26"/>
      <c r="D2" s="28"/>
      <c r="E2" s="30"/>
      <c r="F2" s="26"/>
    </row>
    <row r="3" spans="1:6" ht="114.75" x14ac:dyDescent="0.2">
      <c r="A3" s="2">
        <v>1</v>
      </c>
      <c r="B3" s="3" t="s">
        <v>6</v>
      </c>
      <c r="C3" s="4">
        <v>150</v>
      </c>
      <c r="D3" s="5">
        <v>348</v>
      </c>
      <c r="E3" s="6">
        <v>200</v>
      </c>
      <c r="F3" s="7" t="s">
        <v>7</v>
      </c>
    </row>
    <row r="4" spans="1:6" ht="114.75" x14ac:dyDescent="0.2">
      <c r="A4" s="25">
        <v>2</v>
      </c>
      <c r="B4" s="3" t="s">
        <v>85</v>
      </c>
      <c r="C4" s="4">
        <v>150</v>
      </c>
      <c r="D4" s="24">
        <v>100</v>
      </c>
      <c r="E4" s="6">
        <v>200</v>
      </c>
      <c r="F4" s="7" t="s">
        <v>7</v>
      </c>
    </row>
    <row r="5" spans="1:6" ht="165.75" x14ac:dyDescent="0.2">
      <c r="A5" s="25">
        <v>3</v>
      </c>
      <c r="B5" s="8" t="s">
        <v>8</v>
      </c>
      <c r="C5" s="4">
        <v>36</v>
      </c>
      <c r="D5" s="5">
        <v>54</v>
      </c>
      <c r="E5" s="4">
        <v>250</v>
      </c>
      <c r="F5" s="9" t="s">
        <v>9</v>
      </c>
    </row>
    <row r="6" spans="1:6" ht="191.25" x14ac:dyDescent="0.2">
      <c r="A6" s="25">
        <v>4</v>
      </c>
      <c r="B6" s="8" t="s">
        <v>10</v>
      </c>
      <c r="C6" s="4">
        <v>350</v>
      </c>
      <c r="D6" s="5">
        <v>63</v>
      </c>
      <c r="E6" s="4">
        <v>250</v>
      </c>
      <c r="F6" s="7" t="s">
        <v>11</v>
      </c>
    </row>
    <row r="7" spans="1:6" ht="76.5" x14ac:dyDescent="0.2">
      <c r="A7" s="25">
        <v>5</v>
      </c>
      <c r="B7" s="8" t="s">
        <v>12</v>
      </c>
      <c r="C7" s="4">
        <v>40</v>
      </c>
      <c r="D7" s="5">
        <v>205</v>
      </c>
      <c r="E7" s="4">
        <v>500</v>
      </c>
      <c r="F7" s="7" t="s">
        <v>13</v>
      </c>
    </row>
    <row r="8" spans="1:6" ht="102" x14ac:dyDescent="0.2">
      <c r="A8" s="25">
        <v>6</v>
      </c>
      <c r="B8" s="8" t="s">
        <v>14</v>
      </c>
      <c r="C8" s="4">
        <v>20</v>
      </c>
      <c r="D8" s="5">
        <v>57</v>
      </c>
      <c r="E8" s="4">
        <v>250</v>
      </c>
      <c r="F8" s="9" t="s">
        <v>15</v>
      </c>
    </row>
    <row r="9" spans="1:6" ht="127.5" x14ac:dyDescent="0.2">
      <c r="A9" s="25">
        <v>7</v>
      </c>
      <c r="B9" s="8" t="s">
        <v>16</v>
      </c>
      <c r="C9" s="4">
        <v>39</v>
      </c>
      <c r="D9" s="5">
        <v>31</v>
      </c>
      <c r="E9" s="4">
        <v>250</v>
      </c>
      <c r="F9" s="9" t="s">
        <v>17</v>
      </c>
    </row>
    <row r="10" spans="1:6" ht="191.25" x14ac:dyDescent="0.2">
      <c r="A10" s="25">
        <v>8</v>
      </c>
      <c r="B10" s="8" t="s">
        <v>18</v>
      </c>
      <c r="C10" s="4">
        <v>80</v>
      </c>
      <c r="D10" s="5">
        <v>211</v>
      </c>
      <c r="E10" s="4">
        <v>120</v>
      </c>
      <c r="F10" s="7" t="s">
        <v>19</v>
      </c>
    </row>
    <row r="11" spans="1:6" ht="114.75" x14ac:dyDescent="0.2">
      <c r="A11" s="25">
        <v>9</v>
      </c>
      <c r="B11" s="8" t="s">
        <v>20</v>
      </c>
      <c r="C11" s="4">
        <v>12</v>
      </c>
      <c r="D11" s="5">
        <v>18</v>
      </c>
      <c r="E11" s="4">
        <v>120</v>
      </c>
      <c r="F11" s="9" t="s">
        <v>21</v>
      </c>
    </row>
    <row r="12" spans="1:6" ht="153" x14ac:dyDescent="0.2">
      <c r="A12" s="25">
        <v>10</v>
      </c>
      <c r="B12" s="8" t="s">
        <v>88</v>
      </c>
      <c r="C12" s="4">
        <v>400</v>
      </c>
      <c r="D12" s="24">
        <v>10</v>
      </c>
      <c r="E12" s="4">
        <v>150</v>
      </c>
      <c r="F12" s="9" t="s">
        <v>87</v>
      </c>
    </row>
    <row r="13" spans="1:6" ht="102" x14ac:dyDescent="0.2">
      <c r="A13" s="25">
        <v>11</v>
      </c>
      <c r="B13" s="8" t="s">
        <v>22</v>
      </c>
      <c r="C13" s="4">
        <v>10</v>
      </c>
      <c r="D13" s="5">
        <v>0</v>
      </c>
      <c r="E13" s="4"/>
      <c r="F13" s="9"/>
    </row>
    <row r="14" spans="1:6" ht="153" x14ac:dyDescent="0.2">
      <c r="A14" s="25">
        <v>12</v>
      </c>
      <c r="B14" s="8" t="s">
        <v>23</v>
      </c>
      <c r="C14" s="4">
        <v>10</v>
      </c>
      <c r="D14" s="5">
        <v>0</v>
      </c>
      <c r="E14" s="4"/>
      <c r="F14" s="9"/>
    </row>
    <row r="15" spans="1:6" ht="153" x14ac:dyDescent="0.2">
      <c r="A15" s="25">
        <v>13</v>
      </c>
      <c r="B15" s="8" t="s">
        <v>24</v>
      </c>
      <c r="C15" s="4">
        <v>70</v>
      </c>
      <c r="D15" s="5">
        <v>21</v>
      </c>
      <c r="E15" s="4">
        <v>120</v>
      </c>
      <c r="F15" s="9" t="s">
        <v>25</v>
      </c>
    </row>
    <row r="16" spans="1:6" ht="127.5" x14ac:dyDescent="0.2">
      <c r="A16" s="25">
        <v>14</v>
      </c>
      <c r="B16" s="8" t="s">
        <v>26</v>
      </c>
      <c r="C16" s="4">
        <v>45</v>
      </c>
      <c r="D16" s="5">
        <v>6</v>
      </c>
      <c r="E16" s="4">
        <v>120</v>
      </c>
      <c r="F16" s="9" t="s">
        <v>27</v>
      </c>
    </row>
    <row r="17" spans="1:6" x14ac:dyDescent="0.2">
      <c r="A17" s="5"/>
      <c r="B17" s="8" t="s">
        <v>28</v>
      </c>
      <c r="C17" s="4"/>
      <c r="D17" s="10">
        <v>1114</v>
      </c>
      <c r="E17" s="4"/>
      <c r="F17" s="11"/>
    </row>
    <row r="18" spans="1:6" x14ac:dyDescent="0.2">
      <c r="C18" s="13"/>
      <c r="E18" s="13"/>
    </row>
    <row r="19" spans="1:6" x14ac:dyDescent="0.2">
      <c r="A19" s="1"/>
      <c r="C19" s="13"/>
      <c r="E19" s="13"/>
    </row>
    <row r="29" spans="1:6" x14ac:dyDescent="0.2">
      <c r="A29" s="1"/>
      <c r="B29" s="14"/>
    </row>
  </sheetData>
  <mergeCells count="6">
    <mergeCell ref="F1:F2"/>
    <mergeCell ref="A1:A2"/>
    <mergeCell ref="B1:B2"/>
    <mergeCell ref="C1:C2"/>
    <mergeCell ref="D1:D2"/>
    <mergeCell ref="E1: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Views>
    <sheetView workbookViewId="0">
      <selection activeCell="E44" sqref="E44"/>
    </sheetView>
  </sheetViews>
  <sheetFormatPr defaultRowHeight="14.25" x14ac:dyDescent="0.2"/>
  <cols>
    <col min="1" max="1" width="7.5703125" style="15" customWidth="1"/>
    <col min="2" max="2" width="25.42578125" style="15" customWidth="1"/>
    <col min="3" max="4" width="10" style="15" customWidth="1"/>
    <col min="5" max="5" width="8.28515625" style="15" customWidth="1"/>
    <col min="6" max="6" width="7.7109375" style="15" customWidth="1"/>
    <col min="7" max="7" width="6.7109375" style="15" customWidth="1"/>
    <col min="8" max="8" width="7.140625" style="15" customWidth="1"/>
    <col min="9" max="9" width="6" style="15" customWidth="1"/>
    <col min="10" max="10" width="10.7109375" style="15" customWidth="1"/>
    <col min="11" max="11" width="10.85546875" style="15" customWidth="1"/>
    <col min="12" max="12" width="7.28515625" style="15" customWidth="1"/>
    <col min="13" max="13" width="5.42578125" style="15" customWidth="1"/>
    <col min="14" max="15" width="7.140625" style="15" customWidth="1"/>
    <col min="16" max="16" width="9.140625" style="15" customWidth="1"/>
    <col min="17" max="17" width="10.140625" style="15" customWidth="1"/>
    <col min="18" max="18" width="8.5703125" style="15" customWidth="1"/>
    <col min="19" max="19" width="9" style="15" customWidth="1"/>
    <col min="20" max="16384" width="9.140625" style="15"/>
  </cols>
  <sheetData>
    <row r="1" spans="1:19" ht="15" x14ac:dyDescent="0.2">
      <c r="A1" s="31" t="s">
        <v>29</v>
      </c>
      <c r="B1" s="31"/>
      <c r="C1" s="31"/>
      <c r="D1" s="31"/>
      <c r="E1" s="31"/>
      <c r="F1" s="31"/>
      <c r="G1" s="31"/>
      <c r="H1" s="31"/>
      <c r="I1" s="31"/>
      <c r="J1" s="31"/>
      <c r="K1" s="31"/>
      <c r="L1" s="31"/>
      <c r="M1" s="31"/>
      <c r="N1" s="31"/>
      <c r="O1" s="31"/>
      <c r="P1" s="31"/>
      <c r="Q1" s="31"/>
      <c r="R1" s="31"/>
      <c r="S1" s="31"/>
    </row>
    <row r="2" spans="1:19" ht="57" x14ac:dyDescent="0.2">
      <c r="A2" s="16" t="s">
        <v>30</v>
      </c>
      <c r="B2" s="17" t="s">
        <v>31</v>
      </c>
      <c r="C2" s="16" t="s">
        <v>32</v>
      </c>
      <c r="D2" s="32" t="s">
        <v>86</v>
      </c>
      <c r="E2" s="18" t="s">
        <v>33</v>
      </c>
      <c r="F2" s="18" t="s">
        <v>34</v>
      </c>
      <c r="G2" s="18" t="s">
        <v>35</v>
      </c>
      <c r="H2" s="18" t="s">
        <v>36</v>
      </c>
      <c r="I2" s="18" t="s">
        <v>37</v>
      </c>
      <c r="J2" s="18" t="s">
        <v>38</v>
      </c>
      <c r="K2" s="18" t="s">
        <v>39</v>
      </c>
      <c r="L2" s="18" t="s">
        <v>40</v>
      </c>
      <c r="M2" s="18" t="s">
        <v>41</v>
      </c>
      <c r="N2" s="18" t="s">
        <v>42</v>
      </c>
      <c r="O2" s="18" t="s">
        <v>43</v>
      </c>
      <c r="P2" s="18" t="s">
        <v>44</v>
      </c>
      <c r="Q2" s="18" t="s">
        <v>45</v>
      </c>
      <c r="R2" s="18" t="s">
        <v>46</v>
      </c>
      <c r="S2" s="19" t="s">
        <v>47</v>
      </c>
    </row>
    <row r="3" spans="1:19" x14ac:dyDescent="0.2">
      <c r="A3" s="20">
        <v>1</v>
      </c>
      <c r="B3" s="21" t="s">
        <v>48</v>
      </c>
      <c r="C3" s="22">
        <v>0</v>
      </c>
      <c r="D3" s="22">
        <v>0</v>
      </c>
      <c r="E3" s="22">
        <v>61</v>
      </c>
      <c r="F3" s="22">
        <v>37</v>
      </c>
      <c r="G3" s="22">
        <v>0</v>
      </c>
      <c r="H3" s="22">
        <v>9</v>
      </c>
      <c r="I3" s="22">
        <v>12</v>
      </c>
      <c r="J3" s="20">
        <v>0</v>
      </c>
      <c r="K3" s="20">
        <v>0</v>
      </c>
      <c r="L3" s="20">
        <v>0</v>
      </c>
      <c r="M3" s="20">
        <v>0</v>
      </c>
      <c r="N3" s="20">
        <v>0</v>
      </c>
      <c r="O3" s="20">
        <v>0</v>
      </c>
      <c r="P3" s="20">
        <v>0</v>
      </c>
      <c r="Q3" s="20">
        <v>0</v>
      </c>
      <c r="R3" s="20">
        <v>0</v>
      </c>
      <c r="S3" s="20">
        <f t="shared" ref="S3:S38" si="0">SUM(C3:R3)</f>
        <v>119</v>
      </c>
    </row>
    <row r="4" spans="1:19" x14ac:dyDescent="0.2">
      <c r="A4" s="20">
        <v>2</v>
      </c>
      <c r="B4" s="21" t="s">
        <v>49</v>
      </c>
      <c r="C4" s="22">
        <v>101</v>
      </c>
      <c r="D4" s="22">
        <v>10</v>
      </c>
      <c r="E4" s="22">
        <v>0</v>
      </c>
      <c r="F4" s="22">
        <v>0</v>
      </c>
      <c r="G4" s="22">
        <v>12</v>
      </c>
      <c r="H4" s="22">
        <v>0</v>
      </c>
      <c r="I4" s="22">
        <v>0</v>
      </c>
      <c r="J4" s="20">
        <v>0</v>
      </c>
      <c r="K4" s="20">
        <v>0</v>
      </c>
      <c r="L4" s="20">
        <v>4</v>
      </c>
      <c r="M4" s="20">
        <v>0</v>
      </c>
      <c r="N4" s="20">
        <v>0</v>
      </c>
      <c r="O4" s="20">
        <v>0</v>
      </c>
      <c r="P4" s="20">
        <v>0</v>
      </c>
      <c r="Q4" s="20">
        <v>0</v>
      </c>
      <c r="R4" s="20">
        <v>0</v>
      </c>
      <c r="S4" s="20">
        <f t="shared" si="0"/>
        <v>127</v>
      </c>
    </row>
    <row r="5" spans="1:19" x14ac:dyDescent="0.2">
      <c r="A5" s="20">
        <v>3</v>
      </c>
      <c r="B5" s="21" t="s">
        <v>50</v>
      </c>
      <c r="C5" s="22">
        <v>71</v>
      </c>
      <c r="D5" s="22">
        <v>40</v>
      </c>
      <c r="E5" s="22">
        <v>0</v>
      </c>
      <c r="F5" s="22">
        <v>0</v>
      </c>
      <c r="G5" s="22">
        <v>2</v>
      </c>
      <c r="H5" s="22">
        <v>0</v>
      </c>
      <c r="I5" s="22">
        <v>0</v>
      </c>
      <c r="J5" s="20">
        <v>0</v>
      </c>
      <c r="K5" s="20">
        <v>0</v>
      </c>
      <c r="L5" s="20">
        <v>0</v>
      </c>
      <c r="M5" s="20">
        <v>0</v>
      </c>
      <c r="N5" s="20">
        <v>0</v>
      </c>
      <c r="O5" s="20">
        <v>0</v>
      </c>
      <c r="P5" s="20">
        <v>0</v>
      </c>
      <c r="Q5" s="20">
        <v>0</v>
      </c>
      <c r="R5" s="20">
        <v>0</v>
      </c>
      <c r="S5" s="20">
        <f t="shared" si="0"/>
        <v>113</v>
      </c>
    </row>
    <row r="6" spans="1:19" x14ac:dyDescent="0.2">
      <c r="A6" s="20">
        <v>4</v>
      </c>
      <c r="B6" s="21" t="s">
        <v>51</v>
      </c>
      <c r="C6" s="22">
        <v>81</v>
      </c>
      <c r="D6" s="22">
        <v>30</v>
      </c>
      <c r="E6" s="22">
        <v>0</v>
      </c>
      <c r="F6" s="22">
        <v>0</v>
      </c>
      <c r="G6" s="22">
        <v>2</v>
      </c>
      <c r="H6" s="22">
        <v>0</v>
      </c>
      <c r="I6" s="22">
        <v>0</v>
      </c>
      <c r="J6" s="20">
        <v>0</v>
      </c>
      <c r="K6" s="20">
        <v>0</v>
      </c>
      <c r="L6" s="20">
        <v>0</v>
      </c>
      <c r="M6" s="20">
        <v>0</v>
      </c>
      <c r="N6" s="20">
        <v>0</v>
      </c>
      <c r="O6" s="20">
        <v>0</v>
      </c>
      <c r="P6" s="20">
        <v>0</v>
      </c>
      <c r="Q6" s="20">
        <v>0</v>
      </c>
      <c r="R6" s="20">
        <v>0</v>
      </c>
      <c r="S6" s="20">
        <f t="shared" si="0"/>
        <v>113</v>
      </c>
    </row>
    <row r="7" spans="1:19" x14ac:dyDescent="0.2">
      <c r="A7" s="20">
        <v>5</v>
      </c>
      <c r="B7" s="21" t="s">
        <v>52</v>
      </c>
      <c r="C7" s="22">
        <v>91</v>
      </c>
      <c r="D7" s="22">
        <v>20</v>
      </c>
      <c r="E7" s="22">
        <v>0</v>
      </c>
      <c r="F7" s="22">
        <v>0</v>
      </c>
      <c r="G7" s="22">
        <v>0</v>
      </c>
      <c r="H7" s="22">
        <v>0</v>
      </c>
      <c r="I7" s="22">
        <v>0</v>
      </c>
      <c r="J7" s="20">
        <v>0</v>
      </c>
      <c r="K7" s="20">
        <v>0</v>
      </c>
      <c r="L7" s="20">
        <v>0</v>
      </c>
      <c r="M7" s="20">
        <v>0</v>
      </c>
      <c r="N7" s="20">
        <v>0</v>
      </c>
      <c r="O7" s="20">
        <v>0</v>
      </c>
      <c r="P7" s="20">
        <v>0</v>
      </c>
      <c r="Q7" s="20">
        <v>0</v>
      </c>
      <c r="R7" s="20">
        <v>0</v>
      </c>
      <c r="S7" s="20">
        <f t="shared" si="0"/>
        <v>111</v>
      </c>
    </row>
    <row r="8" spans="1:19" x14ac:dyDescent="0.2">
      <c r="A8" s="20">
        <v>6</v>
      </c>
      <c r="B8" s="21" t="s">
        <v>53</v>
      </c>
      <c r="C8" s="22">
        <v>0</v>
      </c>
      <c r="D8" s="22">
        <v>0</v>
      </c>
      <c r="E8" s="20">
        <v>0</v>
      </c>
      <c r="F8" s="20">
        <v>0</v>
      </c>
      <c r="G8" s="22">
        <v>5</v>
      </c>
      <c r="H8" s="20">
        <v>0</v>
      </c>
      <c r="I8" s="20">
        <v>0</v>
      </c>
      <c r="J8" s="22">
        <v>6</v>
      </c>
      <c r="K8" s="20">
        <v>0</v>
      </c>
      <c r="L8" s="20">
        <v>0</v>
      </c>
      <c r="M8" s="20">
        <v>0</v>
      </c>
      <c r="N8" s="20">
        <v>0</v>
      </c>
      <c r="O8" s="20">
        <v>0</v>
      </c>
      <c r="P8" s="20">
        <v>0</v>
      </c>
      <c r="Q8" s="20">
        <v>0</v>
      </c>
      <c r="R8" s="20">
        <v>0</v>
      </c>
      <c r="S8" s="20">
        <f t="shared" si="0"/>
        <v>11</v>
      </c>
    </row>
    <row r="9" spans="1:19" ht="28.5" x14ac:dyDescent="0.2">
      <c r="A9" s="20">
        <v>7</v>
      </c>
      <c r="B9" s="23" t="s">
        <v>54</v>
      </c>
      <c r="C9" s="22">
        <v>0</v>
      </c>
      <c r="D9" s="22">
        <v>0</v>
      </c>
      <c r="E9" s="22">
        <v>0</v>
      </c>
      <c r="F9" s="22">
        <v>0</v>
      </c>
      <c r="G9" s="22">
        <v>0</v>
      </c>
      <c r="H9" s="22">
        <v>0</v>
      </c>
      <c r="I9" s="22">
        <v>0</v>
      </c>
      <c r="J9" s="22">
        <v>8</v>
      </c>
      <c r="K9" s="22">
        <v>0</v>
      </c>
      <c r="L9" s="22">
        <v>0</v>
      </c>
      <c r="M9" s="22">
        <v>0</v>
      </c>
      <c r="N9" s="22">
        <v>0</v>
      </c>
      <c r="O9" s="22">
        <v>0</v>
      </c>
      <c r="P9" s="22">
        <v>0</v>
      </c>
      <c r="Q9" s="22">
        <v>0</v>
      </c>
      <c r="R9" s="22">
        <v>0</v>
      </c>
      <c r="S9" s="20">
        <f t="shared" si="0"/>
        <v>8</v>
      </c>
    </row>
    <row r="10" spans="1:19" x14ac:dyDescent="0.2">
      <c r="A10" s="20">
        <v>8</v>
      </c>
      <c r="B10" s="21" t="s">
        <v>55</v>
      </c>
      <c r="C10" s="20">
        <v>0</v>
      </c>
      <c r="D10" s="22">
        <v>0</v>
      </c>
      <c r="E10" s="20">
        <v>18</v>
      </c>
      <c r="F10" s="20">
        <v>0</v>
      </c>
      <c r="G10" s="20">
        <v>0</v>
      </c>
      <c r="H10" s="20">
        <v>3</v>
      </c>
      <c r="I10" s="20">
        <v>0</v>
      </c>
      <c r="J10" s="20">
        <v>0</v>
      </c>
      <c r="K10" s="20">
        <v>0</v>
      </c>
      <c r="L10" s="20">
        <v>0</v>
      </c>
      <c r="M10" s="20">
        <v>0</v>
      </c>
      <c r="N10" s="20">
        <v>0</v>
      </c>
      <c r="O10" s="20">
        <v>0</v>
      </c>
      <c r="P10" s="20">
        <v>0</v>
      </c>
      <c r="Q10" s="20">
        <v>0</v>
      </c>
      <c r="R10" s="20">
        <v>0</v>
      </c>
      <c r="S10" s="20">
        <f t="shared" si="0"/>
        <v>21</v>
      </c>
    </row>
    <row r="11" spans="1:19" x14ac:dyDescent="0.2">
      <c r="A11" s="20">
        <v>9</v>
      </c>
      <c r="B11" s="21" t="s">
        <v>56</v>
      </c>
      <c r="C11" s="20">
        <v>0</v>
      </c>
      <c r="D11" s="22">
        <v>0</v>
      </c>
      <c r="E11" s="20">
        <v>0</v>
      </c>
      <c r="F11" s="20">
        <v>0</v>
      </c>
      <c r="G11" s="20">
        <v>0</v>
      </c>
      <c r="H11" s="20">
        <v>0</v>
      </c>
      <c r="I11" s="20">
        <v>5</v>
      </c>
      <c r="J11" s="20">
        <v>0</v>
      </c>
      <c r="K11" s="20">
        <v>0</v>
      </c>
      <c r="L11" s="20">
        <v>0</v>
      </c>
      <c r="M11" s="20">
        <v>0</v>
      </c>
      <c r="N11" s="20">
        <v>0</v>
      </c>
      <c r="O11" s="20">
        <v>0</v>
      </c>
      <c r="P11" s="20">
        <v>0</v>
      </c>
      <c r="Q11" s="20">
        <v>0</v>
      </c>
      <c r="R11" s="20">
        <v>0</v>
      </c>
      <c r="S11" s="20">
        <f t="shared" si="0"/>
        <v>5</v>
      </c>
    </row>
    <row r="12" spans="1:19" x14ac:dyDescent="0.2">
      <c r="A12" s="20">
        <v>10</v>
      </c>
      <c r="B12" s="21" t="s">
        <v>57</v>
      </c>
      <c r="C12" s="20">
        <v>0</v>
      </c>
      <c r="D12" s="22">
        <v>0</v>
      </c>
      <c r="E12" s="20">
        <v>0</v>
      </c>
      <c r="F12" s="20">
        <v>0</v>
      </c>
      <c r="G12" s="20">
        <v>0</v>
      </c>
      <c r="H12" s="20">
        <v>0</v>
      </c>
      <c r="I12" s="20">
        <v>0</v>
      </c>
      <c r="J12" s="20">
        <v>0</v>
      </c>
      <c r="K12" s="20">
        <v>4</v>
      </c>
      <c r="L12" s="20">
        <v>0</v>
      </c>
      <c r="M12" s="20">
        <v>0</v>
      </c>
      <c r="N12" s="20">
        <v>0</v>
      </c>
      <c r="O12" s="20">
        <v>0</v>
      </c>
      <c r="P12" s="20">
        <v>0</v>
      </c>
      <c r="Q12" s="20">
        <v>0</v>
      </c>
      <c r="R12" s="20">
        <v>0</v>
      </c>
      <c r="S12" s="20">
        <f t="shared" si="0"/>
        <v>4</v>
      </c>
    </row>
    <row r="13" spans="1:19" x14ac:dyDescent="0.2">
      <c r="A13" s="20">
        <v>11</v>
      </c>
      <c r="B13" s="23" t="s">
        <v>58</v>
      </c>
      <c r="C13" s="20">
        <v>0</v>
      </c>
      <c r="D13" s="22">
        <v>0</v>
      </c>
      <c r="E13" s="20">
        <v>0</v>
      </c>
      <c r="F13" s="20">
        <v>0</v>
      </c>
      <c r="G13" s="20">
        <v>0</v>
      </c>
      <c r="H13" s="20">
        <v>0</v>
      </c>
      <c r="I13" s="20">
        <v>0</v>
      </c>
      <c r="J13" s="20">
        <v>0</v>
      </c>
      <c r="K13" s="20">
        <v>4</v>
      </c>
      <c r="L13" s="20">
        <v>0</v>
      </c>
      <c r="M13" s="20">
        <v>0</v>
      </c>
      <c r="N13" s="20">
        <v>0</v>
      </c>
      <c r="O13" s="20">
        <v>0</v>
      </c>
      <c r="P13" s="20">
        <v>0</v>
      </c>
      <c r="Q13" s="20">
        <v>0</v>
      </c>
      <c r="R13" s="20">
        <v>0</v>
      </c>
      <c r="S13" s="20">
        <f t="shared" si="0"/>
        <v>4</v>
      </c>
    </row>
    <row r="14" spans="1:19" x14ac:dyDescent="0.2">
      <c r="A14" s="20">
        <v>12</v>
      </c>
      <c r="B14" s="21" t="s">
        <v>59</v>
      </c>
      <c r="C14" s="20">
        <v>0</v>
      </c>
      <c r="D14" s="22">
        <v>0</v>
      </c>
      <c r="E14" s="20">
        <v>35</v>
      </c>
      <c r="F14" s="20">
        <v>4</v>
      </c>
      <c r="G14" s="20">
        <v>0</v>
      </c>
      <c r="H14" s="20">
        <v>0</v>
      </c>
      <c r="I14" s="20">
        <v>4</v>
      </c>
      <c r="J14" s="20">
        <v>0</v>
      </c>
      <c r="K14" s="20">
        <v>0</v>
      </c>
      <c r="L14" s="20">
        <v>12</v>
      </c>
      <c r="M14" s="20">
        <v>0</v>
      </c>
      <c r="N14" s="20">
        <v>0</v>
      </c>
      <c r="O14" s="20">
        <v>0</v>
      </c>
      <c r="P14" s="20">
        <v>0</v>
      </c>
      <c r="Q14" s="20">
        <v>0</v>
      </c>
      <c r="R14" s="20">
        <v>0</v>
      </c>
      <c r="S14" s="20">
        <f t="shared" si="0"/>
        <v>55</v>
      </c>
    </row>
    <row r="15" spans="1:19" x14ac:dyDescent="0.2">
      <c r="A15" s="20">
        <v>13</v>
      </c>
      <c r="B15" s="21" t="s">
        <v>60</v>
      </c>
      <c r="C15" s="20">
        <v>0</v>
      </c>
      <c r="D15" s="22">
        <v>0</v>
      </c>
      <c r="E15" s="20">
        <v>14</v>
      </c>
      <c r="F15" s="20">
        <v>3</v>
      </c>
      <c r="G15" s="20">
        <v>38</v>
      </c>
      <c r="H15" s="20">
        <v>3</v>
      </c>
      <c r="I15" s="20">
        <v>0</v>
      </c>
      <c r="J15" s="20">
        <v>0</v>
      </c>
      <c r="K15" s="20">
        <v>0</v>
      </c>
      <c r="L15" s="20">
        <v>0</v>
      </c>
      <c r="M15" s="20">
        <v>0</v>
      </c>
      <c r="N15" s="20">
        <v>0</v>
      </c>
      <c r="O15" s="20">
        <v>0</v>
      </c>
      <c r="P15" s="20">
        <v>0</v>
      </c>
      <c r="Q15" s="20">
        <v>0</v>
      </c>
      <c r="R15" s="20">
        <v>0</v>
      </c>
      <c r="S15" s="20">
        <f t="shared" si="0"/>
        <v>58</v>
      </c>
    </row>
    <row r="16" spans="1:19" x14ac:dyDescent="0.2">
      <c r="A16" s="20">
        <v>14</v>
      </c>
      <c r="B16" s="21" t="s">
        <v>61</v>
      </c>
      <c r="C16" s="20">
        <v>0</v>
      </c>
      <c r="D16" s="22">
        <v>0</v>
      </c>
      <c r="E16" s="20">
        <v>0</v>
      </c>
      <c r="F16" s="20">
        <v>0</v>
      </c>
      <c r="G16" s="20">
        <v>17</v>
      </c>
      <c r="H16" s="20">
        <v>0</v>
      </c>
      <c r="I16" s="20">
        <v>0</v>
      </c>
      <c r="J16" s="20">
        <v>0</v>
      </c>
      <c r="K16" s="20">
        <v>0</v>
      </c>
      <c r="L16" s="20">
        <v>0</v>
      </c>
      <c r="M16" s="20">
        <v>0</v>
      </c>
      <c r="N16" s="20">
        <v>0</v>
      </c>
      <c r="O16" s="20">
        <v>0</v>
      </c>
      <c r="P16" s="20">
        <v>0</v>
      </c>
      <c r="Q16" s="20">
        <v>0</v>
      </c>
      <c r="R16" s="20">
        <v>0</v>
      </c>
      <c r="S16" s="20">
        <f t="shared" si="0"/>
        <v>17</v>
      </c>
    </row>
    <row r="17" spans="1:19" x14ac:dyDescent="0.2">
      <c r="A17" s="20">
        <v>15</v>
      </c>
      <c r="B17" s="21" t="s">
        <v>62</v>
      </c>
      <c r="C17" s="20">
        <v>0</v>
      </c>
      <c r="D17" s="22">
        <v>0</v>
      </c>
      <c r="E17" s="20">
        <v>0</v>
      </c>
      <c r="F17" s="20">
        <v>0</v>
      </c>
      <c r="G17" s="20">
        <v>21</v>
      </c>
      <c r="H17" s="20">
        <v>0</v>
      </c>
      <c r="I17" s="20">
        <v>0</v>
      </c>
      <c r="J17" s="20">
        <v>0</v>
      </c>
      <c r="K17" s="20">
        <v>0</v>
      </c>
      <c r="L17" s="20">
        <v>0</v>
      </c>
      <c r="M17" s="20">
        <v>0</v>
      </c>
      <c r="N17" s="20">
        <v>0</v>
      </c>
      <c r="O17" s="20">
        <v>0</v>
      </c>
      <c r="P17" s="20">
        <v>0</v>
      </c>
      <c r="Q17" s="20">
        <v>0</v>
      </c>
      <c r="R17" s="20">
        <v>0</v>
      </c>
      <c r="S17" s="20">
        <f t="shared" si="0"/>
        <v>21</v>
      </c>
    </row>
    <row r="18" spans="1:19" x14ac:dyDescent="0.2">
      <c r="A18" s="20">
        <v>16</v>
      </c>
      <c r="B18" s="21" t="s">
        <v>63</v>
      </c>
      <c r="C18" s="20">
        <v>0</v>
      </c>
      <c r="D18" s="22">
        <v>0</v>
      </c>
      <c r="E18" s="20">
        <v>0</v>
      </c>
      <c r="F18" s="20">
        <v>0</v>
      </c>
      <c r="G18" s="20">
        <v>20</v>
      </c>
      <c r="H18" s="20">
        <v>0</v>
      </c>
      <c r="I18" s="20">
        <v>0</v>
      </c>
      <c r="J18" s="20">
        <v>0</v>
      </c>
      <c r="K18" s="20">
        <v>0</v>
      </c>
      <c r="L18" s="20">
        <v>0</v>
      </c>
      <c r="M18" s="20">
        <v>0</v>
      </c>
      <c r="N18" s="20">
        <v>0</v>
      </c>
      <c r="O18" s="20">
        <v>0</v>
      </c>
      <c r="P18" s="20">
        <v>0</v>
      </c>
      <c r="Q18" s="20">
        <v>0</v>
      </c>
      <c r="R18" s="20">
        <v>0</v>
      </c>
      <c r="S18" s="20">
        <f t="shared" si="0"/>
        <v>20</v>
      </c>
    </row>
    <row r="19" spans="1:19" x14ac:dyDescent="0.2">
      <c r="A19" s="20">
        <v>17</v>
      </c>
      <c r="B19" s="21" t="s">
        <v>64</v>
      </c>
      <c r="C19" s="20">
        <v>0</v>
      </c>
      <c r="D19" s="22">
        <v>0</v>
      </c>
      <c r="E19" s="20">
        <v>0</v>
      </c>
      <c r="F19" s="20">
        <v>0</v>
      </c>
      <c r="G19" s="20">
        <v>0</v>
      </c>
      <c r="H19" s="20">
        <v>0</v>
      </c>
      <c r="I19" s="20">
        <v>0</v>
      </c>
      <c r="J19" s="20">
        <v>20</v>
      </c>
      <c r="K19" s="20">
        <v>0</v>
      </c>
      <c r="L19" s="20">
        <v>0</v>
      </c>
      <c r="M19" s="20">
        <v>0</v>
      </c>
      <c r="N19" s="20">
        <v>11</v>
      </c>
      <c r="O19" s="20">
        <v>10</v>
      </c>
      <c r="P19" s="20">
        <v>0</v>
      </c>
      <c r="Q19" s="20">
        <v>0</v>
      </c>
      <c r="R19" s="20">
        <v>0</v>
      </c>
      <c r="S19" s="20">
        <f t="shared" si="0"/>
        <v>41</v>
      </c>
    </row>
    <row r="20" spans="1:19" x14ac:dyDescent="0.2">
      <c r="A20" s="20">
        <v>18</v>
      </c>
      <c r="B20" s="21" t="s">
        <v>65</v>
      </c>
      <c r="C20" s="20">
        <v>0</v>
      </c>
      <c r="D20" s="22">
        <v>0</v>
      </c>
      <c r="E20" s="20">
        <v>0</v>
      </c>
      <c r="F20" s="20">
        <v>0</v>
      </c>
      <c r="G20" s="20">
        <v>0</v>
      </c>
      <c r="H20" s="20">
        <v>0</v>
      </c>
      <c r="I20" s="20">
        <v>0</v>
      </c>
      <c r="J20" s="20">
        <v>0</v>
      </c>
      <c r="K20" s="20">
        <v>0</v>
      </c>
      <c r="L20" s="20">
        <v>0</v>
      </c>
      <c r="M20" s="20">
        <v>6</v>
      </c>
      <c r="N20" s="20">
        <v>0</v>
      </c>
      <c r="O20" s="20">
        <v>0</v>
      </c>
      <c r="P20" s="20">
        <v>0</v>
      </c>
      <c r="Q20" s="20">
        <v>0</v>
      </c>
      <c r="R20" s="20">
        <v>0</v>
      </c>
      <c r="S20" s="20">
        <f t="shared" si="0"/>
        <v>6</v>
      </c>
    </row>
    <row r="21" spans="1:19" x14ac:dyDescent="0.2">
      <c r="A21" s="20">
        <v>19</v>
      </c>
      <c r="B21" s="23" t="s">
        <v>66</v>
      </c>
      <c r="C21" s="20">
        <v>0</v>
      </c>
      <c r="D21" s="22">
        <v>0</v>
      </c>
      <c r="E21" s="20">
        <v>0</v>
      </c>
      <c r="F21" s="20">
        <v>0</v>
      </c>
      <c r="G21" s="20">
        <v>0</v>
      </c>
      <c r="H21" s="20">
        <v>0</v>
      </c>
      <c r="I21" s="20">
        <v>0</v>
      </c>
      <c r="J21" s="20">
        <v>0</v>
      </c>
      <c r="K21" s="20">
        <v>0</v>
      </c>
      <c r="L21" s="20">
        <v>0</v>
      </c>
      <c r="M21" s="20">
        <v>0</v>
      </c>
      <c r="N21" s="20">
        <v>0</v>
      </c>
      <c r="O21" s="20">
        <v>0</v>
      </c>
      <c r="P21" s="20">
        <v>0</v>
      </c>
      <c r="Q21" s="20">
        <v>0</v>
      </c>
      <c r="R21" s="20">
        <v>0</v>
      </c>
      <c r="S21" s="20">
        <f t="shared" si="0"/>
        <v>0</v>
      </c>
    </row>
    <row r="22" spans="1:19" x14ac:dyDescent="0.2">
      <c r="A22" s="20">
        <v>20</v>
      </c>
      <c r="B22" s="21" t="s">
        <v>67</v>
      </c>
      <c r="C22" s="20">
        <v>0</v>
      </c>
      <c r="D22" s="22">
        <v>0</v>
      </c>
      <c r="E22" s="20">
        <v>0</v>
      </c>
      <c r="F22" s="20">
        <v>0</v>
      </c>
      <c r="G22" s="20">
        <v>72</v>
      </c>
      <c r="H22" s="20">
        <v>0</v>
      </c>
      <c r="I22" s="20">
        <v>0</v>
      </c>
      <c r="J22" s="20">
        <v>0</v>
      </c>
      <c r="K22" s="20">
        <v>0</v>
      </c>
      <c r="L22" s="20">
        <v>0</v>
      </c>
      <c r="M22" s="20">
        <v>0</v>
      </c>
      <c r="N22" s="20">
        <v>0</v>
      </c>
      <c r="O22" s="20">
        <v>0</v>
      </c>
      <c r="P22" s="20">
        <v>0</v>
      </c>
      <c r="Q22" s="20">
        <v>0</v>
      </c>
      <c r="R22" s="20">
        <v>0</v>
      </c>
      <c r="S22" s="20">
        <f t="shared" si="0"/>
        <v>72</v>
      </c>
    </row>
    <row r="23" spans="1:19" ht="28.5" x14ac:dyDescent="0.2">
      <c r="A23" s="20">
        <v>21</v>
      </c>
      <c r="B23" s="23" t="s">
        <v>68</v>
      </c>
      <c r="C23" s="20">
        <v>0</v>
      </c>
      <c r="D23" s="22">
        <v>0</v>
      </c>
      <c r="E23" s="20">
        <v>29</v>
      </c>
      <c r="F23" s="20">
        <v>0</v>
      </c>
      <c r="G23" s="20">
        <v>2</v>
      </c>
      <c r="H23" s="20">
        <v>9</v>
      </c>
      <c r="I23" s="20">
        <v>0</v>
      </c>
      <c r="J23" s="20">
        <v>0</v>
      </c>
      <c r="K23" s="20">
        <v>0</v>
      </c>
      <c r="L23" s="20">
        <v>0</v>
      </c>
      <c r="M23" s="20">
        <v>0</v>
      </c>
      <c r="N23" s="20">
        <v>0</v>
      </c>
      <c r="O23" s="20">
        <v>0</v>
      </c>
      <c r="P23" s="20">
        <v>0</v>
      </c>
      <c r="Q23" s="20">
        <v>0</v>
      </c>
      <c r="R23" s="20">
        <v>0</v>
      </c>
      <c r="S23" s="20">
        <f t="shared" si="0"/>
        <v>40</v>
      </c>
    </row>
    <row r="24" spans="1:19" x14ac:dyDescent="0.2">
      <c r="A24" s="20">
        <v>22</v>
      </c>
      <c r="B24" s="21" t="s">
        <v>69</v>
      </c>
      <c r="C24" s="20">
        <v>0</v>
      </c>
      <c r="D24" s="22">
        <v>0</v>
      </c>
      <c r="E24" s="20">
        <v>0</v>
      </c>
      <c r="F24" s="20">
        <v>0</v>
      </c>
      <c r="G24" s="20">
        <v>10</v>
      </c>
      <c r="H24" s="20">
        <v>0</v>
      </c>
      <c r="I24" s="20">
        <v>0</v>
      </c>
      <c r="J24" s="20">
        <v>0</v>
      </c>
      <c r="K24" s="20">
        <v>0</v>
      </c>
      <c r="L24" s="20">
        <v>0</v>
      </c>
      <c r="M24" s="20">
        <v>0</v>
      </c>
      <c r="N24" s="20">
        <v>0</v>
      </c>
      <c r="O24" s="20">
        <v>0</v>
      </c>
      <c r="P24" s="20">
        <v>0</v>
      </c>
      <c r="Q24" s="20">
        <v>0</v>
      </c>
      <c r="R24" s="20">
        <v>0</v>
      </c>
      <c r="S24" s="20">
        <f t="shared" si="0"/>
        <v>10</v>
      </c>
    </row>
    <row r="25" spans="1:19" x14ac:dyDescent="0.2">
      <c r="A25" s="20">
        <v>23</v>
      </c>
      <c r="B25" s="21" t="s">
        <v>70</v>
      </c>
      <c r="C25" s="20">
        <v>0</v>
      </c>
      <c r="D25" s="22">
        <v>0</v>
      </c>
      <c r="E25" s="20">
        <v>0</v>
      </c>
      <c r="F25" s="20">
        <v>10</v>
      </c>
      <c r="G25" s="20">
        <v>0</v>
      </c>
      <c r="H25" s="20">
        <v>10</v>
      </c>
      <c r="I25" s="20">
        <v>10</v>
      </c>
      <c r="J25" s="20">
        <v>0</v>
      </c>
      <c r="K25" s="20">
        <v>10</v>
      </c>
      <c r="L25" s="20">
        <v>0</v>
      </c>
      <c r="M25" s="20">
        <v>0</v>
      </c>
      <c r="N25" s="20">
        <v>0</v>
      </c>
      <c r="O25" s="20">
        <v>0</v>
      </c>
      <c r="P25" s="20">
        <v>0</v>
      </c>
      <c r="Q25" s="20">
        <v>0</v>
      </c>
      <c r="R25" s="20">
        <v>0</v>
      </c>
      <c r="S25" s="20">
        <f t="shared" si="0"/>
        <v>40</v>
      </c>
    </row>
    <row r="26" spans="1:19" x14ac:dyDescent="0.2">
      <c r="A26" s="20">
        <v>24</v>
      </c>
      <c r="B26" s="21" t="s">
        <v>71</v>
      </c>
      <c r="C26" s="20">
        <v>0</v>
      </c>
      <c r="D26" s="22">
        <v>0</v>
      </c>
      <c r="E26" s="20">
        <v>0</v>
      </c>
      <c r="F26" s="20">
        <v>0</v>
      </c>
      <c r="G26" s="20">
        <v>0</v>
      </c>
      <c r="H26" s="20">
        <v>0</v>
      </c>
      <c r="I26" s="20">
        <v>0</v>
      </c>
      <c r="J26" s="20">
        <v>6</v>
      </c>
      <c r="K26" s="20">
        <v>0</v>
      </c>
      <c r="L26" s="20">
        <v>0</v>
      </c>
      <c r="M26" s="20">
        <v>0</v>
      </c>
      <c r="N26" s="20">
        <v>0</v>
      </c>
      <c r="O26" s="20">
        <v>0</v>
      </c>
      <c r="P26" s="20">
        <v>0</v>
      </c>
      <c r="Q26" s="20">
        <v>0</v>
      </c>
      <c r="R26" s="20">
        <v>0</v>
      </c>
      <c r="S26" s="20">
        <f t="shared" si="0"/>
        <v>6</v>
      </c>
    </row>
    <row r="27" spans="1:19" x14ac:dyDescent="0.2">
      <c r="A27" s="20">
        <v>25</v>
      </c>
      <c r="B27" s="21" t="s">
        <v>72</v>
      </c>
      <c r="C27" s="20">
        <v>0</v>
      </c>
      <c r="D27" s="22">
        <v>0</v>
      </c>
      <c r="E27" s="20">
        <v>0</v>
      </c>
      <c r="F27" s="20">
        <v>0</v>
      </c>
      <c r="G27" s="20">
        <v>0</v>
      </c>
      <c r="H27" s="20">
        <v>0</v>
      </c>
      <c r="I27" s="20">
        <v>0</v>
      </c>
      <c r="J27" s="20">
        <v>2</v>
      </c>
      <c r="K27" s="20">
        <v>0</v>
      </c>
      <c r="L27" s="20">
        <v>0</v>
      </c>
      <c r="M27" s="20">
        <v>0</v>
      </c>
      <c r="N27" s="20">
        <v>0</v>
      </c>
      <c r="O27" s="20">
        <v>0</v>
      </c>
      <c r="P27" s="20">
        <v>0</v>
      </c>
      <c r="Q27" s="20">
        <v>0</v>
      </c>
      <c r="R27" s="20">
        <v>0</v>
      </c>
      <c r="S27" s="20">
        <f t="shared" si="0"/>
        <v>2</v>
      </c>
    </row>
    <row r="28" spans="1:19" x14ac:dyDescent="0.2">
      <c r="A28" s="20">
        <v>26</v>
      </c>
      <c r="B28" s="21" t="s">
        <v>73</v>
      </c>
      <c r="C28" s="20">
        <v>4</v>
      </c>
      <c r="D28" s="22">
        <v>0</v>
      </c>
      <c r="E28" s="20">
        <v>0</v>
      </c>
      <c r="F28" s="20">
        <v>0</v>
      </c>
      <c r="G28" s="20">
        <v>0</v>
      </c>
      <c r="H28" s="20">
        <v>0</v>
      </c>
      <c r="I28" s="20">
        <v>0</v>
      </c>
      <c r="J28" s="20">
        <v>4</v>
      </c>
      <c r="K28" s="20">
        <v>0</v>
      </c>
      <c r="L28" s="20">
        <v>0</v>
      </c>
      <c r="M28" s="20">
        <v>0</v>
      </c>
      <c r="N28" s="20">
        <v>0</v>
      </c>
      <c r="O28" s="20">
        <v>0</v>
      </c>
      <c r="P28" s="20">
        <v>0</v>
      </c>
      <c r="Q28" s="20">
        <v>0</v>
      </c>
      <c r="R28" s="20">
        <v>0</v>
      </c>
      <c r="S28" s="20">
        <f t="shared" si="0"/>
        <v>8</v>
      </c>
    </row>
    <row r="29" spans="1:19" x14ac:dyDescent="0.2">
      <c r="A29" s="20">
        <v>27</v>
      </c>
      <c r="B29" s="21" t="s">
        <v>74</v>
      </c>
      <c r="C29" s="20">
        <v>0</v>
      </c>
      <c r="D29" s="22">
        <v>0</v>
      </c>
      <c r="E29" s="20">
        <v>0</v>
      </c>
      <c r="F29" s="20">
        <v>0</v>
      </c>
      <c r="G29" s="20">
        <v>0</v>
      </c>
      <c r="H29" s="20">
        <v>0</v>
      </c>
      <c r="I29" s="20">
        <v>0</v>
      </c>
      <c r="J29" s="20">
        <v>0</v>
      </c>
      <c r="K29" s="20">
        <v>0</v>
      </c>
      <c r="L29" s="20">
        <v>0</v>
      </c>
      <c r="M29" s="20">
        <v>0</v>
      </c>
      <c r="N29" s="20">
        <v>0</v>
      </c>
      <c r="O29" s="20">
        <v>0</v>
      </c>
      <c r="P29" s="20">
        <v>0</v>
      </c>
      <c r="Q29" s="20">
        <v>0</v>
      </c>
      <c r="R29" s="20">
        <v>0</v>
      </c>
      <c r="S29" s="20">
        <f t="shared" si="0"/>
        <v>0</v>
      </c>
    </row>
    <row r="30" spans="1:19" ht="28.5" x14ac:dyDescent="0.2">
      <c r="A30" s="20">
        <v>28</v>
      </c>
      <c r="B30" s="23" t="s">
        <v>75</v>
      </c>
      <c r="C30" s="20">
        <v>0</v>
      </c>
      <c r="D30" s="22">
        <v>0</v>
      </c>
      <c r="E30" s="20">
        <v>0</v>
      </c>
      <c r="F30" s="20">
        <v>0</v>
      </c>
      <c r="G30" s="20">
        <v>0</v>
      </c>
      <c r="H30" s="20">
        <v>0</v>
      </c>
      <c r="I30" s="20">
        <v>0</v>
      </c>
      <c r="J30" s="20">
        <v>0</v>
      </c>
      <c r="K30" s="20">
        <v>0</v>
      </c>
      <c r="L30" s="20">
        <v>0</v>
      </c>
      <c r="M30" s="20">
        <v>0</v>
      </c>
      <c r="N30" s="20">
        <v>0</v>
      </c>
      <c r="O30" s="20">
        <v>0</v>
      </c>
      <c r="P30" s="20">
        <v>0</v>
      </c>
      <c r="Q30" s="20">
        <v>0</v>
      </c>
      <c r="R30" s="20">
        <v>0</v>
      </c>
      <c r="S30" s="20">
        <f t="shared" si="0"/>
        <v>0</v>
      </c>
    </row>
    <row r="31" spans="1:19" x14ac:dyDescent="0.2">
      <c r="A31" s="20">
        <v>29</v>
      </c>
      <c r="B31" s="23" t="s">
        <v>76</v>
      </c>
      <c r="C31" s="20">
        <v>0</v>
      </c>
      <c r="D31" s="22">
        <v>0</v>
      </c>
      <c r="E31" s="20">
        <v>0</v>
      </c>
      <c r="F31" s="20">
        <v>0</v>
      </c>
      <c r="G31" s="20">
        <v>10</v>
      </c>
      <c r="H31" s="20">
        <v>0</v>
      </c>
      <c r="I31" s="20">
        <v>0</v>
      </c>
      <c r="J31" s="20">
        <v>0</v>
      </c>
      <c r="K31" s="20">
        <v>0</v>
      </c>
      <c r="L31" s="20">
        <v>0</v>
      </c>
      <c r="M31" s="20">
        <v>0</v>
      </c>
      <c r="N31" s="20">
        <v>10</v>
      </c>
      <c r="O31" s="20">
        <v>0</v>
      </c>
      <c r="P31" s="20">
        <v>10</v>
      </c>
      <c r="Q31" s="20">
        <v>0</v>
      </c>
      <c r="R31" s="20">
        <v>0</v>
      </c>
      <c r="S31" s="20">
        <f t="shared" si="0"/>
        <v>30</v>
      </c>
    </row>
    <row r="32" spans="1:19" ht="28.5" x14ac:dyDescent="0.2">
      <c r="A32" s="20">
        <v>30</v>
      </c>
      <c r="B32" s="23" t="s">
        <v>77</v>
      </c>
      <c r="C32" s="20">
        <v>0</v>
      </c>
      <c r="D32" s="22">
        <v>0</v>
      </c>
      <c r="E32" s="20">
        <v>22</v>
      </c>
      <c r="F32" s="20">
        <v>0</v>
      </c>
      <c r="G32" s="20">
        <v>0</v>
      </c>
      <c r="H32" s="20">
        <v>6</v>
      </c>
      <c r="I32" s="20">
        <v>0</v>
      </c>
      <c r="J32" s="20">
        <v>0</v>
      </c>
      <c r="K32" s="20">
        <v>0</v>
      </c>
      <c r="L32" s="20">
        <v>0</v>
      </c>
      <c r="M32" s="20">
        <v>0</v>
      </c>
      <c r="N32" s="20">
        <v>0</v>
      </c>
      <c r="O32" s="20">
        <v>0</v>
      </c>
      <c r="P32" s="20">
        <v>0</v>
      </c>
      <c r="Q32" s="20">
        <v>0</v>
      </c>
      <c r="R32" s="20">
        <v>0</v>
      </c>
      <c r="S32" s="20">
        <f t="shared" si="0"/>
        <v>28</v>
      </c>
    </row>
    <row r="33" spans="1:19" x14ac:dyDescent="0.2">
      <c r="A33" s="20">
        <v>31</v>
      </c>
      <c r="B33" s="23" t="s">
        <v>78</v>
      </c>
      <c r="C33" s="20">
        <v>0</v>
      </c>
      <c r="D33" s="22">
        <v>0</v>
      </c>
      <c r="E33" s="20">
        <v>4</v>
      </c>
      <c r="F33" s="20">
        <v>0</v>
      </c>
      <c r="G33" s="20">
        <v>0</v>
      </c>
      <c r="H33" s="20">
        <v>4</v>
      </c>
      <c r="I33" s="20">
        <v>0</v>
      </c>
      <c r="J33" s="20">
        <v>0</v>
      </c>
      <c r="K33" s="20">
        <v>0</v>
      </c>
      <c r="L33" s="20">
        <v>0</v>
      </c>
      <c r="M33" s="20">
        <v>0</v>
      </c>
      <c r="N33" s="20">
        <v>0</v>
      </c>
      <c r="O33" s="20">
        <v>0</v>
      </c>
      <c r="P33" s="20">
        <v>0</v>
      </c>
      <c r="Q33" s="20">
        <v>0</v>
      </c>
      <c r="R33" s="20">
        <v>0</v>
      </c>
      <c r="S33" s="20">
        <f t="shared" si="0"/>
        <v>8</v>
      </c>
    </row>
    <row r="34" spans="1:19" ht="28.5" x14ac:dyDescent="0.2">
      <c r="A34" s="20">
        <v>32</v>
      </c>
      <c r="B34" s="23" t="s">
        <v>79</v>
      </c>
      <c r="C34" s="20">
        <v>0</v>
      </c>
      <c r="D34" s="22">
        <v>0</v>
      </c>
      <c r="E34" s="20">
        <v>3</v>
      </c>
      <c r="F34" s="20">
        <v>0</v>
      </c>
      <c r="G34" s="20">
        <v>0</v>
      </c>
      <c r="H34" s="20">
        <v>3</v>
      </c>
      <c r="I34" s="20">
        <v>0</v>
      </c>
      <c r="J34" s="20">
        <v>0</v>
      </c>
      <c r="K34" s="20">
        <v>0</v>
      </c>
      <c r="L34" s="20">
        <v>0</v>
      </c>
      <c r="M34" s="20">
        <v>0</v>
      </c>
      <c r="N34" s="20">
        <v>0</v>
      </c>
      <c r="O34" s="20">
        <v>0</v>
      </c>
      <c r="P34" s="20">
        <v>0</v>
      </c>
      <c r="Q34" s="20">
        <v>0</v>
      </c>
      <c r="R34" s="20">
        <v>0</v>
      </c>
      <c r="S34" s="20">
        <f t="shared" si="0"/>
        <v>6</v>
      </c>
    </row>
    <row r="35" spans="1:19" x14ac:dyDescent="0.2">
      <c r="A35" s="20">
        <v>33</v>
      </c>
      <c r="B35" s="23" t="s">
        <v>80</v>
      </c>
      <c r="C35" s="20">
        <v>0</v>
      </c>
      <c r="D35" s="22">
        <v>0</v>
      </c>
      <c r="E35" s="20">
        <v>3</v>
      </c>
      <c r="F35" s="20">
        <v>0</v>
      </c>
      <c r="G35" s="20">
        <v>0</v>
      </c>
      <c r="H35" s="20">
        <v>0</v>
      </c>
      <c r="I35" s="20">
        <v>0</v>
      </c>
      <c r="J35" s="20">
        <v>0</v>
      </c>
      <c r="K35" s="20">
        <v>0</v>
      </c>
      <c r="L35" s="20">
        <v>0</v>
      </c>
      <c r="M35" s="20">
        <v>0</v>
      </c>
      <c r="N35" s="20">
        <v>0</v>
      </c>
      <c r="O35" s="20">
        <v>0</v>
      </c>
      <c r="P35" s="20">
        <v>0</v>
      </c>
      <c r="Q35" s="20">
        <v>0</v>
      </c>
      <c r="R35" s="20">
        <v>0</v>
      </c>
      <c r="S35" s="20">
        <f t="shared" si="0"/>
        <v>3</v>
      </c>
    </row>
    <row r="36" spans="1:19" x14ac:dyDescent="0.2">
      <c r="A36" s="20">
        <v>34</v>
      </c>
      <c r="B36" s="23" t="s">
        <v>81</v>
      </c>
      <c r="C36" s="20">
        <v>0</v>
      </c>
      <c r="D36" s="22">
        <v>0</v>
      </c>
      <c r="E36" s="20">
        <v>0</v>
      </c>
      <c r="F36" s="20">
        <v>0</v>
      </c>
      <c r="G36" s="20">
        <v>0</v>
      </c>
      <c r="H36" s="20">
        <v>0</v>
      </c>
      <c r="I36" s="20">
        <v>0</v>
      </c>
      <c r="J36" s="20">
        <v>3</v>
      </c>
      <c r="K36" s="20">
        <v>0</v>
      </c>
      <c r="L36" s="20">
        <v>0</v>
      </c>
      <c r="M36" s="20">
        <v>0</v>
      </c>
      <c r="N36" s="20">
        <v>0</v>
      </c>
      <c r="O36" s="20">
        <v>0</v>
      </c>
      <c r="P36" s="20">
        <v>0</v>
      </c>
      <c r="Q36" s="20">
        <v>0</v>
      </c>
      <c r="R36" s="20">
        <v>0</v>
      </c>
      <c r="S36" s="20">
        <f t="shared" si="0"/>
        <v>3</v>
      </c>
    </row>
    <row r="37" spans="1:19" x14ac:dyDescent="0.2">
      <c r="A37" s="20">
        <v>35</v>
      </c>
      <c r="B37" s="23" t="s">
        <v>82</v>
      </c>
      <c r="C37" s="20">
        <v>0</v>
      </c>
      <c r="D37" s="22">
        <v>0</v>
      </c>
      <c r="E37" s="20">
        <v>0</v>
      </c>
      <c r="F37" s="20">
        <v>0</v>
      </c>
      <c r="G37" s="20">
        <v>0</v>
      </c>
      <c r="H37" s="20">
        <v>0</v>
      </c>
      <c r="I37" s="20">
        <v>0</v>
      </c>
      <c r="J37" s="20">
        <v>8</v>
      </c>
      <c r="K37" s="20">
        <v>0</v>
      </c>
      <c r="L37" s="20">
        <v>0</v>
      </c>
      <c r="M37" s="20">
        <v>0</v>
      </c>
      <c r="N37" s="20">
        <v>0</v>
      </c>
      <c r="O37" s="20">
        <v>0</v>
      </c>
      <c r="P37" s="20">
        <v>0</v>
      </c>
      <c r="Q37" s="20">
        <v>0</v>
      </c>
      <c r="R37" s="20">
        <v>0</v>
      </c>
      <c r="S37" s="20">
        <f t="shared" si="0"/>
        <v>8</v>
      </c>
    </row>
    <row r="38" spans="1:19" ht="28.5" x14ac:dyDescent="0.2">
      <c r="A38" s="20">
        <v>36</v>
      </c>
      <c r="B38" s="23" t="s">
        <v>83</v>
      </c>
      <c r="C38" s="20">
        <v>0</v>
      </c>
      <c r="D38" s="22">
        <v>0</v>
      </c>
      <c r="E38" s="20">
        <v>0</v>
      </c>
      <c r="F38" s="20">
        <v>0</v>
      </c>
      <c r="G38" s="20">
        <v>0</v>
      </c>
      <c r="H38" s="20">
        <v>0</v>
      </c>
      <c r="I38" s="20">
        <v>0</v>
      </c>
      <c r="J38" s="20">
        <v>6</v>
      </c>
      <c r="K38" s="20">
        <v>0</v>
      </c>
      <c r="L38" s="20">
        <v>0</v>
      </c>
      <c r="M38" s="20">
        <v>0</v>
      </c>
      <c r="N38" s="20">
        <v>0</v>
      </c>
      <c r="O38" s="20">
        <v>0</v>
      </c>
      <c r="P38" s="20">
        <v>0</v>
      </c>
      <c r="Q38" s="20">
        <v>0</v>
      </c>
      <c r="R38" s="20">
        <v>0</v>
      </c>
      <c r="S38" s="20">
        <f t="shared" si="0"/>
        <v>6</v>
      </c>
    </row>
    <row r="39" spans="1:19" x14ac:dyDescent="0.2">
      <c r="A39" s="20"/>
      <c r="B39" s="20" t="s">
        <v>84</v>
      </c>
      <c r="C39" s="20">
        <f t="shared" ref="C39" si="1">SUM(C3:C38)</f>
        <v>348</v>
      </c>
      <c r="D39" s="20">
        <f>SUM(D3:D38)</f>
        <v>100</v>
      </c>
      <c r="E39" s="20">
        <f>SUM(E3:E38)</f>
        <v>189</v>
      </c>
      <c r="F39" s="20">
        <f t="shared" ref="F39:S39" si="2">SUM(F3:F38)</f>
        <v>54</v>
      </c>
      <c r="G39" s="20">
        <f t="shared" si="2"/>
        <v>211</v>
      </c>
      <c r="H39" s="20">
        <f t="shared" si="2"/>
        <v>47</v>
      </c>
      <c r="I39" s="20">
        <f t="shared" si="2"/>
        <v>31</v>
      </c>
      <c r="J39" s="20">
        <f t="shared" si="2"/>
        <v>63</v>
      </c>
      <c r="K39" s="20">
        <f t="shared" si="2"/>
        <v>18</v>
      </c>
      <c r="L39" s="20">
        <f t="shared" si="2"/>
        <v>16</v>
      </c>
      <c r="M39" s="20">
        <f t="shared" si="2"/>
        <v>6</v>
      </c>
      <c r="N39" s="20">
        <f t="shared" si="2"/>
        <v>21</v>
      </c>
      <c r="O39" s="20">
        <f t="shared" si="2"/>
        <v>10</v>
      </c>
      <c r="P39" s="20">
        <f t="shared" si="2"/>
        <v>10</v>
      </c>
      <c r="Q39" s="20">
        <f t="shared" si="2"/>
        <v>0</v>
      </c>
      <c r="R39" s="20">
        <f t="shared" si="2"/>
        <v>0</v>
      </c>
      <c r="S39" s="20">
        <f t="shared" si="2"/>
        <v>1124</v>
      </c>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BOQ</vt:lpstr>
      <vt:lpstr>LIGHTS</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2019-09-04T10:46:59Z</dcterms:modified>
</cp:coreProperties>
</file>